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\Downloads\"/>
    </mc:Choice>
  </mc:AlternateContent>
  <xr:revisionPtr revIDLastSave="0" documentId="13_ncr:1_{186EDECB-D57A-422C-BDB3-63D73DA29521}" xr6:coauthVersionLast="47" xr6:coauthVersionMax="47" xr10:uidLastSave="{00000000-0000-0000-0000-000000000000}"/>
  <bookViews>
    <workbookView xWindow="2304" yWindow="3504" windowWidth="31608" windowHeight="19884" xr2:uid="{8A76F465-58BB-49A3-B977-DD0827CA6734}"/>
  </bookViews>
  <sheets>
    <sheet name="raw_20260609_185140" sheetId="1" r:id="rId1"/>
    <sheet name="raw_20260609_185943" sheetId="2" r:id="rId2"/>
    <sheet name="analysis" sheetId="3" r:id="rId3"/>
    <sheet name="Sheet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6" i="4" l="1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E80" i="4"/>
  <c r="E77" i="4"/>
  <c r="E76" i="4"/>
  <c r="E74" i="4"/>
  <c r="E72" i="4"/>
  <c r="E70" i="4"/>
  <c r="E69" i="4"/>
  <c r="E68" i="4"/>
  <c r="E66" i="4"/>
  <c r="E65" i="4"/>
  <c r="E51" i="4"/>
  <c r="E48" i="4"/>
  <c r="E47" i="4"/>
  <c r="E46" i="4"/>
  <c r="E43" i="4"/>
  <c r="E40" i="4"/>
  <c r="E39" i="4"/>
  <c r="E38" i="4"/>
  <c r="E36" i="4"/>
  <c r="E35" i="4"/>
  <c r="E34" i="4"/>
  <c r="E33" i="4"/>
  <c r="E24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  <c r="E18" i="3"/>
  <c r="C96" i="3"/>
  <c r="F96" i="3" s="1"/>
  <c r="B96" i="3"/>
  <c r="E23" i="4" s="1"/>
  <c r="C95" i="3"/>
  <c r="F95" i="3" s="1"/>
  <c r="B95" i="3"/>
  <c r="E28" i="4" s="1"/>
  <c r="C94" i="3"/>
  <c r="B94" i="3"/>
  <c r="E67" i="4" s="1"/>
  <c r="C93" i="3"/>
  <c r="B93" i="3"/>
  <c r="E71" i="4" s="1"/>
  <c r="C92" i="3"/>
  <c r="B92" i="3"/>
  <c r="C91" i="3"/>
  <c r="B91" i="3"/>
  <c r="C90" i="3"/>
  <c r="B90" i="3"/>
  <c r="C89" i="3"/>
  <c r="B89" i="3"/>
  <c r="E89" i="4" s="1"/>
  <c r="C88" i="3"/>
  <c r="B88" i="3"/>
  <c r="C87" i="3"/>
  <c r="B87" i="3"/>
  <c r="C86" i="3"/>
  <c r="B86" i="3"/>
  <c r="C85" i="3"/>
  <c r="B85" i="3"/>
  <c r="E57" i="4" s="1"/>
  <c r="C84" i="3"/>
  <c r="B84" i="3"/>
  <c r="C83" i="3"/>
  <c r="F83" i="3" s="1"/>
  <c r="B83" i="3"/>
  <c r="E92" i="4" s="1"/>
  <c r="C82" i="3"/>
  <c r="B82" i="3"/>
  <c r="E82" i="3" s="1"/>
  <c r="C81" i="3"/>
  <c r="F81" i="3" s="1"/>
  <c r="B81" i="3"/>
  <c r="E63" i="4" s="1"/>
  <c r="C80" i="3"/>
  <c r="F80" i="3" s="1"/>
  <c r="B80" i="3"/>
  <c r="E80" i="3" s="1"/>
  <c r="C79" i="3"/>
  <c r="F79" i="3" s="1"/>
  <c r="B79" i="3"/>
  <c r="E79" i="3" s="1"/>
  <c r="C78" i="3"/>
  <c r="B78" i="3"/>
  <c r="E78" i="4" s="1"/>
  <c r="C77" i="3"/>
  <c r="B77" i="3"/>
  <c r="E75" i="4" s="1"/>
  <c r="C76" i="3"/>
  <c r="B76" i="3"/>
  <c r="C75" i="3"/>
  <c r="B75" i="3"/>
  <c r="C74" i="3"/>
  <c r="B74" i="3"/>
  <c r="E85" i="4" s="1"/>
  <c r="C73" i="3"/>
  <c r="B73" i="3"/>
  <c r="E88" i="4" s="1"/>
  <c r="C72" i="3"/>
  <c r="B72" i="3"/>
  <c r="C71" i="3"/>
  <c r="B71" i="3"/>
  <c r="C70" i="3"/>
  <c r="B70" i="3"/>
  <c r="C69" i="3"/>
  <c r="B69" i="3"/>
  <c r="C68" i="3"/>
  <c r="B68" i="3"/>
  <c r="E19" i="4" s="1"/>
  <c r="C67" i="3"/>
  <c r="B67" i="3"/>
  <c r="C66" i="3"/>
  <c r="F66" i="3" s="1"/>
  <c r="B66" i="3"/>
  <c r="E66" i="3" s="1"/>
  <c r="C65" i="3"/>
  <c r="B65" i="3"/>
  <c r="E65" i="3" s="1"/>
  <c r="C64" i="3"/>
  <c r="B64" i="3"/>
  <c r="E64" i="3" s="1"/>
  <c r="C63" i="3"/>
  <c r="F63" i="3" s="1"/>
  <c r="B63" i="3"/>
  <c r="E63" i="3" s="1"/>
  <c r="C62" i="3"/>
  <c r="B62" i="3"/>
  <c r="E82" i="4" s="1"/>
  <c r="C61" i="3"/>
  <c r="B61" i="3"/>
  <c r="E61" i="4" s="1"/>
  <c r="C60" i="3"/>
  <c r="B60" i="3"/>
  <c r="C59" i="3"/>
  <c r="B59" i="3"/>
  <c r="C58" i="3"/>
  <c r="B58" i="3"/>
  <c r="C57" i="3"/>
  <c r="B57" i="3"/>
  <c r="E29" i="4" s="1"/>
  <c r="C56" i="3"/>
  <c r="B56" i="3"/>
  <c r="C55" i="3"/>
  <c r="B55" i="3"/>
  <c r="E31" i="4" s="1"/>
  <c r="C54" i="3"/>
  <c r="B54" i="3"/>
  <c r="C53" i="3"/>
  <c r="B53" i="3"/>
  <c r="C52" i="3"/>
  <c r="B52" i="3"/>
  <c r="E64" i="4" s="1"/>
  <c r="C51" i="3"/>
  <c r="B51" i="3"/>
  <c r="E21" i="4" s="1"/>
  <c r="C50" i="3"/>
  <c r="B50" i="3"/>
  <c r="E50" i="3" s="1"/>
  <c r="C49" i="3"/>
  <c r="B49" i="3"/>
  <c r="E94" i="4" s="1"/>
  <c r="C48" i="3"/>
  <c r="B48" i="3"/>
  <c r="E55" i="4" s="1"/>
  <c r="C47" i="3"/>
  <c r="B47" i="3"/>
  <c r="E93" i="4" s="1"/>
  <c r="C46" i="3"/>
  <c r="B46" i="3"/>
  <c r="E37" i="4" s="1"/>
  <c r="C45" i="3"/>
  <c r="B45" i="3"/>
  <c r="E73" i="4" s="1"/>
  <c r="C44" i="3"/>
  <c r="B44" i="3"/>
  <c r="C43" i="3"/>
  <c r="B43" i="3"/>
  <c r="E58" i="4" s="1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E96" i="4" s="1"/>
  <c r="C34" i="3"/>
  <c r="B34" i="3"/>
  <c r="E53" i="4" s="1"/>
  <c r="C33" i="3"/>
  <c r="F33" i="3" s="1"/>
  <c r="B33" i="3"/>
  <c r="E32" i="4" s="1"/>
  <c r="C32" i="3"/>
  <c r="F32" i="3" s="1"/>
  <c r="B32" i="3"/>
  <c r="E25" i="4" s="1"/>
  <c r="C31" i="3"/>
  <c r="F31" i="3" s="1"/>
  <c r="B31" i="3"/>
  <c r="E31" i="3" s="1"/>
  <c r="C30" i="3"/>
  <c r="B30" i="3"/>
  <c r="E56" i="4" s="1"/>
  <c r="C29" i="3"/>
  <c r="B29" i="3"/>
  <c r="E52" i="4" s="1"/>
  <c r="C28" i="3"/>
  <c r="B28" i="3"/>
  <c r="E90" i="4" s="1"/>
  <c r="C27" i="3"/>
  <c r="F16" i="3" s="1"/>
  <c r="B27" i="3"/>
  <c r="C26" i="3"/>
  <c r="B26" i="3"/>
  <c r="E83" i="4" s="1"/>
  <c r="C25" i="3"/>
  <c r="B25" i="3"/>
  <c r="E50" i="4" s="1"/>
  <c r="C24" i="3"/>
  <c r="B24" i="3"/>
  <c r="C23" i="3"/>
  <c r="B23" i="3"/>
  <c r="C22" i="3"/>
  <c r="B22" i="3"/>
  <c r="E81" i="4" s="1"/>
  <c r="C21" i="3"/>
  <c r="B21" i="3"/>
  <c r="E86" i="4" s="1"/>
  <c r="C20" i="3"/>
  <c r="B20" i="3"/>
  <c r="E20" i="3" s="1"/>
  <c r="C19" i="3"/>
  <c r="B19" i="3"/>
  <c r="E19" i="3" s="1"/>
  <c r="C18" i="3"/>
  <c r="F18" i="3" s="1"/>
  <c r="B18" i="3"/>
  <c r="E59" i="4" s="1"/>
  <c r="C17" i="3"/>
  <c r="F17" i="3" s="1"/>
  <c r="B17" i="3"/>
  <c r="E26" i="4" s="1"/>
  <c r="C16" i="3"/>
  <c r="B16" i="3"/>
  <c r="E16" i="3" s="1"/>
  <c r="C15" i="3"/>
  <c r="F15" i="3" s="1"/>
  <c r="B15" i="3"/>
  <c r="E91" i="4" s="1"/>
  <c r="C14" i="3"/>
  <c r="B14" i="3"/>
  <c r="E95" i="4" s="1"/>
  <c r="C13" i="3"/>
  <c r="B13" i="3"/>
  <c r="E2" i="3" s="1"/>
  <c r="C12" i="3"/>
  <c r="B12" i="3"/>
  <c r="C11" i="3"/>
  <c r="B11" i="3"/>
  <c r="C10" i="3"/>
  <c r="F65" i="3" s="1"/>
  <c r="B10" i="3"/>
  <c r="E87" i="4" s="1"/>
  <c r="C9" i="3"/>
  <c r="B9" i="3"/>
  <c r="E30" i="4" s="1"/>
  <c r="C8" i="3"/>
  <c r="B8" i="3"/>
  <c r="E62" i="4" s="1"/>
  <c r="C7" i="3"/>
  <c r="B7" i="3"/>
  <c r="C6" i="3"/>
  <c r="B6" i="3"/>
  <c r="C5" i="3"/>
  <c r="B5" i="3"/>
  <c r="E84" i="4" s="1"/>
  <c r="C4" i="3"/>
  <c r="B4" i="3"/>
  <c r="C3" i="3"/>
  <c r="B3" i="3"/>
  <c r="E27" i="4" s="1"/>
  <c r="C2" i="3"/>
  <c r="F2" i="3" s="1"/>
  <c r="B2" i="3"/>
  <c r="E96" i="3" l="1"/>
  <c r="E42" i="4"/>
  <c r="E44" i="4"/>
  <c r="E79" i="4"/>
  <c r="E95" i="3"/>
  <c r="E49" i="4"/>
  <c r="E32" i="3"/>
  <c r="H32" i="3" s="1"/>
  <c r="B25" i="4" s="1"/>
  <c r="E17" i="3"/>
  <c r="E33" i="3"/>
  <c r="H33" i="3" s="1"/>
  <c r="B32" i="4" s="1"/>
  <c r="E34" i="3"/>
  <c r="E20" i="4"/>
  <c r="E3" i="3"/>
  <c r="E45" i="4"/>
  <c r="E47" i="3"/>
  <c r="E48" i="3"/>
  <c r="E22" i="4"/>
  <c r="E54" i="4"/>
  <c r="E60" i="3"/>
  <c r="E49" i="3"/>
  <c r="E15" i="3"/>
  <c r="H15" i="3" s="1"/>
  <c r="B91" i="4" s="1"/>
  <c r="E41" i="4"/>
  <c r="H65" i="3"/>
  <c r="B6" i="4" s="1"/>
  <c r="E60" i="4"/>
  <c r="H66" i="3"/>
  <c r="B11" i="4" s="1"/>
  <c r="E81" i="3"/>
  <c r="H81" i="3" s="1"/>
  <c r="B63" i="4" s="1"/>
  <c r="F49" i="3"/>
  <c r="H49" i="3" s="1"/>
  <c r="B94" i="4" s="1"/>
  <c r="F34" i="3"/>
  <c r="H34" i="3" s="1"/>
  <c r="B53" i="4" s="1"/>
  <c r="F47" i="3"/>
  <c r="F64" i="3"/>
  <c r="H47" i="3"/>
  <c r="B93" i="4" s="1"/>
  <c r="F48" i="3"/>
  <c r="H48" i="3" s="1"/>
  <c r="B55" i="4" s="1"/>
  <c r="F50" i="3"/>
  <c r="H50" i="3" s="1"/>
  <c r="B54" i="4" s="1"/>
  <c r="H2" i="3"/>
  <c r="B35" i="4" s="1"/>
  <c r="H79" i="3"/>
  <c r="B41" i="4" s="1"/>
  <c r="H64" i="3"/>
  <c r="B45" i="4" s="1"/>
  <c r="F94" i="3"/>
  <c r="H63" i="3"/>
  <c r="B49" i="4" s="1"/>
  <c r="H31" i="3"/>
  <c r="B42" i="4" s="1"/>
  <c r="H95" i="3"/>
  <c r="B28" i="4" s="1"/>
  <c r="H17" i="3"/>
  <c r="B26" i="4" s="1"/>
  <c r="H96" i="3"/>
  <c r="B23" i="4" s="1"/>
  <c r="H16" i="3"/>
  <c r="B22" i="4" s="1"/>
  <c r="H80" i="3"/>
  <c r="B60" i="4" s="1"/>
  <c r="H18" i="3"/>
  <c r="B59" i="4" s="1"/>
  <c r="E53" i="3"/>
  <c r="E69" i="3"/>
  <c r="E85" i="3"/>
  <c r="F67" i="3"/>
  <c r="E4" i="3"/>
  <c r="F53" i="3"/>
  <c r="E84" i="3"/>
  <c r="H84" i="3" s="1"/>
  <c r="B15" i="4" s="1"/>
  <c r="E6" i="3"/>
  <c r="E22" i="3"/>
  <c r="E38" i="3"/>
  <c r="E54" i="3"/>
  <c r="E70" i="3"/>
  <c r="E86" i="3"/>
  <c r="E67" i="3"/>
  <c r="E35" i="3"/>
  <c r="F3" i="3"/>
  <c r="H3" i="3" s="1"/>
  <c r="B27" i="4" s="1"/>
  <c r="E68" i="3"/>
  <c r="F69" i="3"/>
  <c r="F36" i="3"/>
  <c r="F54" i="3"/>
  <c r="E71" i="3"/>
  <c r="E87" i="3"/>
  <c r="F7" i="3"/>
  <c r="F23" i="3"/>
  <c r="F39" i="3"/>
  <c r="F55" i="3"/>
  <c r="F71" i="3"/>
  <c r="F87" i="3"/>
  <c r="E51" i="3"/>
  <c r="E36" i="3"/>
  <c r="E88" i="3"/>
  <c r="E21" i="3"/>
  <c r="E56" i="3"/>
  <c r="F8" i="3"/>
  <c r="F24" i="3"/>
  <c r="F40" i="3"/>
  <c r="F56" i="3"/>
  <c r="F72" i="3"/>
  <c r="F88" i="3"/>
  <c r="F85" i="3"/>
  <c r="E55" i="3"/>
  <c r="E89" i="3"/>
  <c r="F19" i="3"/>
  <c r="H19" i="3" s="1"/>
  <c r="B79" i="4" s="1"/>
  <c r="F21" i="3"/>
  <c r="F25" i="3"/>
  <c r="F41" i="3"/>
  <c r="F57" i="3"/>
  <c r="F73" i="3"/>
  <c r="F89" i="3"/>
  <c r="F84" i="3"/>
  <c r="F68" i="3"/>
  <c r="E72" i="3"/>
  <c r="F82" i="3"/>
  <c r="H82" i="3" s="1"/>
  <c r="B68" i="4" s="1"/>
  <c r="E83" i="3"/>
  <c r="H83" i="3" s="1"/>
  <c r="B92" i="4" s="1"/>
  <c r="E90" i="3"/>
  <c r="E41" i="3"/>
  <c r="F5" i="3"/>
  <c r="E23" i="3"/>
  <c r="H23" i="3" s="1"/>
  <c r="B5" i="4" s="1"/>
  <c r="F9" i="3"/>
  <c r="E43" i="3"/>
  <c r="H43" i="3" s="1"/>
  <c r="B58" i="4" s="1"/>
  <c r="F6" i="3"/>
  <c r="E39" i="3"/>
  <c r="E57" i="3"/>
  <c r="E10" i="3"/>
  <c r="E59" i="3"/>
  <c r="F20" i="3"/>
  <c r="H20" i="3" s="1"/>
  <c r="B20" i="4" s="1"/>
  <c r="E5" i="3"/>
  <c r="F22" i="3"/>
  <c r="F86" i="3"/>
  <c r="E58" i="3"/>
  <c r="E91" i="3"/>
  <c r="F59" i="3"/>
  <c r="E92" i="3"/>
  <c r="E13" i="3"/>
  <c r="E29" i="3"/>
  <c r="E45" i="3"/>
  <c r="E61" i="3"/>
  <c r="E77" i="3"/>
  <c r="E93" i="3"/>
  <c r="F35" i="3"/>
  <c r="E52" i="3"/>
  <c r="F52" i="3"/>
  <c r="E24" i="3"/>
  <c r="E25" i="3"/>
  <c r="E74" i="3"/>
  <c r="F26" i="3"/>
  <c r="F90" i="3"/>
  <c r="E11" i="3"/>
  <c r="F11" i="3"/>
  <c r="F91" i="3"/>
  <c r="E12" i="3"/>
  <c r="E76" i="3"/>
  <c r="F28" i="3"/>
  <c r="F92" i="3"/>
  <c r="F13" i="3"/>
  <c r="F29" i="3"/>
  <c r="F45" i="3"/>
  <c r="F61" i="3"/>
  <c r="F77" i="3"/>
  <c r="F93" i="3"/>
  <c r="F51" i="3"/>
  <c r="F37" i="3"/>
  <c r="F70" i="3"/>
  <c r="E40" i="3"/>
  <c r="E73" i="3"/>
  <c r="E26" i="3"/>
  <c r="F42" i="3"/>
  <c r="E75" i="3"/>
  <c r="F27" i="3"/>
  <c r="F75" i="3"/>
  <c r="E44" i="3"/>
  <c r="F44" i="3"/>
  <c r="E14" i="3"/>
  <c r="E30" i="3"/>
  <c r="E46" i="3"/>
  <c r="E62" i="3"/>
  <c r="E78" i="3"/>
  <c r="E94" i="3"/>
  <c r="F4" i="3"/>
  <c r="E37" i="3"/>
  <c r="H37" i="3" s="1"/>
  <c r="B7" i="4" s="1"/>
  <c r="F38" i="3"/>
  <c r="E7" i="3"/>
  <c r="E8" i="3"/>
  <c r="H8" i="3" s="1"/>
  <c r="B62" i="4" s="1"/>
  <c r="E9" i="3"/>
  <c r="E42" i="3"/>
  <c r="F10" i="3"/>
  <c r="F58" i="3"/>
  <c r="F74" i="3"/>
  <c r="E27" i="3"/>
  <c r="F43" i="3"/>
  <c r="E28" i="3"/>
  <c r="F12" i="3"/>
  <c r="F60" i="3"/>
  <c r="H60" i="3" s="1"/>
  <c r="B18" i="4" s="1"/>
  <c r="F76" i="3"/>
  <c r="F14" i="3"/>
  <c r="F30" i="3"/>
  <c r="F46" i="3"/>
  <c r="F62" i="3"/>
  <c r="F78" i="3"/>
  <c r="H58" i="3" l="1"/>
  <c r="B74" i="4" s="1"/>
  <c r="H28" i="3"/>
  <c r="B90" i="4" s="1"/>
  <c r="H10" i="3"/>
  <c r="B87" i="4" s="1"/>
  <c r="H7" i="3"/>
  <c r="B76" i="4" s="1"/>
  <c r="H76" i="3"/>
  <c r="B24" i="4" s="1"/>
  <c r="H74" i="3"/>
  <c r="B85" i="4" s="1"/>
  <c r="H77" i="3"/>
  <c r="B75" i="4" s="1"/>
  <c r="H67" i="3"/>
  <c r="B12" i="4" s="1"/>
  <c r="H61" i="3"/>
  <c r="B61" i="4" s="1"/>
  <c r="H86" i="3"/>
  <c r="B8" i="4" s="1"/>
  <c r="H75" i="3"/>
  <c r="B47" i="4" s="1"/>
  <c r="H45" i="3"/>
  <c r="B73" i="4" s="1"/>
  <c r="H70" i="3"/>
  <c r="B48" i="4" s="1"/>
  <c r="H24" i="3"/>
  <c r="B65" i="4" s="1"/>
  <c r="H26" i="3"/>
  <c r="B83" i="4" s="1"/>
  <c r="H13" i="3"/>
  <c r="B44" i="4" s="1"/>
  <c r="H89" i="3"/>
  <c r="B89" i="4" s="1"/>
  <c r="H38" i="3"/>
  <c r="B16" i="4" s="1"/>
  <c r="H94" i="3"/>
  <c r="B67" i="4" s="1"/>
  <c r="H29" i="3"/>
  <c r="B52" i="4" s="1"/>
  <c r="H92" i="3"/>
  <c r="B51" i="4" s="1"/>
  <c r="H55" i="3"/>
  <c r="B31" i="4" s="1"/>
  <c r="H22" i="3"/>
  <c r="B81" i="4" s="1"/>
  <c r="H93" i="3"/>
  <c r="B71" i="4" s="1"/>
  <c r="H40" i="3"/>
  <c r="B3" i="4" s="1"/>
  <c r="H6" i="3"/>
  <c r="B66" i="4" s="1"/>
  <c r="H11" i="3"/>
  <c r="B14" i="4" s="1"/>
  <c r="H41" i="3"/>
  <c r="B2" i="4" s="1"/>
  <c r="C45" i="4" s="1"/>
  <c r="H90" i="3"/>
  <c r="B39" i="4" s="1"/>
  <c r="H87" i="3"/>
  <c r="B17" i="4" s="1"/>
  <c r="H71" i="3"/>
  <c r="B80" i="4" s="1"/>
  <c r="H78" i="3"/>
  <c r="B78" i="4" s="1"/>
  <c r="H62" i="3"/>
  <c r="B82" i="4" s="1"/>
  <c r="H25" i="3"/>
  <c r="B50" i="4" s="1"/>
  <c r="H72" i="3"/>
  <c r="B36" i="4" s="1"/>
  <c r="H9" i="3"/>
  <c r="B30" i="4" s="1"/>
  <c r="H12" i="3"/>
  <c r="B43" i="4" s="1"/>
  <c r="H46" i="3"/>
  <c r="B37" i="4" s="1"/>
  <c r="H30" i="3"/>
  <c r="B56" i="4" s="1"/>
  <c r="H14" i="3"/>
  <c r="B95" i="4" s="1"/>
  <c r="H52" i="3"/>
  <c r="B64" i="4" s="1"/>
  <c r="H68" i="3"/>
  <c r="B19" i="4" s="1"/>
  <c r="H44" i="3"/>
  <c r="B46" i="4" s="1"/>
  <c r="H35" i="3"/>
  <c r="B96" i="4" s="1"/>
  <c r="H54" i="3"/>
  <c r="B38" i="4" s="1"/>
  <c r="H73" i="3"/>
  <c r="B88" i="4" s="1"/>
  <c r="H4" i="3"/>
  <c r="B70" i="4" s="1"/>
  <c r="H5" i="3"/>
  <c r="B84" i="4" s="1"/>
  <c r="H85" i="3"/>
  <c r="B57" i="4" s="1"/>
  <c r="H91" i="3"/>
  <c r="B69" i="4" s="1"/>
  <c r="H69" i="3"/>
  <c r="B13" i="4" s="1"/>
  <c r="H59" i="3"/>
  <c r="B33" i="4" s="1"/>
  <c r="H56" i="3"/>
  <c r="B10" i="4" s="1"/>
  <c r="H53" i="3"/>
  <c r="B4" i="4" s="1"/>
  <c r="H27" i="3"/>
  <c r="B9" i="4" s="1"/>
  <c r="C54" i="4" s="1"/>
  <c r="H57" i="3"/>
  <c r="B29" i="4" s="1"/>
  <c r="H88" i="3"/>
  <c r="B77" i="4" s="1"/>
  <c r="H21" i="3"/>
  <c r="B86" i="4" s="1"/>
  <c r="H39" i="3"/>
  <c r="B72" i="4" s="1"/>
  <c r="H36" i="3"/>
  <c r="B34" i="4" s="1"/>
  <c r="H42" i="3"/>
  <c r="B40" i="4" s="1"/>
  <c r="C40" i="4" s="1"/>
  <c r="H51" i="3"/>
  <c r="B21" i="4" s="1"/>
  <c r="C90" i="4" l="1"/>
  <c r="C74" i="4"/>
  <c r="C78" i="4"/>
  <c r="C80" i="4"/>
  <c r="C35" i="4"/>
  <c r="C17" i="4"/>
  <c r="C68" i="4"/>
  <c r="C39" i="4"/>
  <c r="C2" i="4"/>
  <c r="C41" i="4"/>
  <c r="C11" i="4"/>
  <c r="C59" i="4"/>
  <c r="C92" i="4"/>
  <c r="C14" i="4"/>
  <c r="C42" i="4"/>
  <c r="C66" i="4"/>
  <c r="C49" i="4"/>
  <c r="C77" i="4"/>
  <c r="C3" i="4"/>
  <c r="C7" i="4"/>
  <c r="C21" i="4"/>
  <c r="C71" i="4"/>
  <c r="C62" i="4"/>
  <c r="C86" i="4"/>
  <c r="C81" i="4"/>
  <c r="C28" i="4"/>
  <c r="C29" i="4"/>
  <c r="C4" i="4"/>
  <c r="C31" i="4"/>
  <c r="C5" i="4"/>
  <c r="C51" i="4"/>
  <c r="C26" i="4"/>
  <c r="C58" i="4"/>
  <c r="C67" i="4"/>
  <c r="C50" i="4"/>
  <c r="C13" i="4"/>
  <c r="C60" i="4"/>
  <c r="C89" i="4"/>
  <c r="C23" i="4"/>
  <c r="C84" i="4"/>
  <c r="C44" i="4"/>
  <c r="C18" i="4"/>
  <c r="C79" i="4"/>
  <c r="C38" i="4"/>
  <c r="C72" i="4"/>
  <c r="C69" i="4"/>
  <c r="C96" i="4"/>
  <c r="C65" i="4"/>
  <c r="C46" i="4"/>
  <c r="C70" i="4"/>
  <c r="C19" i="4"/>
  <c r="C34" i="4"/>
  <c r="C16" i="4"/>
  <c r="C73" i="4"/>
  <c r="C55" i="4"/>
  <c r="C25" i="4"/>
  <c r="C9" i="4"/>
  <c r="C52" i="4"/>
  <c r="C12" i="4"/>
  <c r="C6" i="4"/>
  <c r="C82" i="4"/>
  <c r="C48" i="4"/>
  <c r="C94" i="4"/>
  <c r="C75" i="4"/>
  <c r="C63" i="4"/>
  <c r="C61" i="4"/>
  <c r="C85" i="4"/>
  <c r="C32" i="4"/>
  <c r="C57" i="4"/>
  <c r="C20" i="4"/>
  <c r="C88" i="4"/>
  <c r="C47" i="4"/>
  <c r="C22" i="4"/>
  <c r="C24" i="4"/>
  <c r="C91" i="4"/>
  <c r="C83" i="4"/>
  <c r="C15" i="4"/>
  <c r="C8" i="4"/>
  <c r="C53" i="4"/>
  <c r="C56" i="4"/>
  <c r="C43" i="4"/>
  <c r="C30" i="4"/>
  <c r="C76" i="4"/>
  <c r="C27" i="4"/>
  <c r="C10" i="4"/>
  <c r="C33" i="4"/>
  <c r="C64" i="4"/>
  <c r="C95" i="4"/>
  <c r="C37" i="4"/>
  <c r="C36" i="4"/>
  <c r="C87" i="4"/>
  <c r="C93" i="4"/>
</calcChain>
</file>

<file path=xl/sharedStrings.xml><?xml version="1.0" encoding="utf-8"?>
<sst xmlns="http://schemas.openxmlformats.org/spreadsheetml/2006/main" count="397" uniqueCount="102">
  <si>
    <t>Heneral UNO</t>
  </si>
  <si>
    <t>ClementineWoolysocks</t>
  </si>
  <si>
    <t>GhostSumit</t>
  </si>
  <si>
    <t>Chota Rajan</t>
  </si>
  <si>
    <t>Acsoxg</t>
  </si>
  <si>
    <t>spitttfire</t>
  </si>
  <si>
    <t>Stache003</t>
  </si>
  <si>
    <t>Thailand5139</t>
  </si>
  <si>
    <t>WASEEM KING 2</t>
  </si>
  <si>
    <t>Mager100hari</t>
  </si>
  <si>
    <t>Kurosufy</t>
  </si>
  <si>
    <t>AlleyBoss129453</t>
  </si>
  <si>
    <t>ϛϚMEOWW</t>
  </si>
  <si>
    <t>SoldierRaja</t>
  </si>
  <si>
    <t>DUMB011</t>
  </si>
  <si>
    <t>TOY MISCHIEF</t>
  </si>
  <si>
    <t>linxers</t>
  </si>
  <si>
    <t>Magykiall</t>
  </si>
  <si>
    <t>KittySiera</t>
  </si>
  <si>
    <t>maya7888</t>
  </si>
  <si>
    <t>anishverma21</t>
  </si>
  <si>
    <t>GlokkBoy</t>
  </si>
  <si>
    <t>H4ZZ</t>
  </si>
  <si>
    <t>Baby shark67</t>
  </si>
  <si>
    <t>ふぁみ Phamy</t>
  </si>
  <si>
    <t>Raven2222</t>
  </si>
  <si>
    <t>tach2312</t>
  </si>
  <si>
    <t>Beslaiq</t>
  </si>
  <si>
    <t>Vestapubg77</t>
  </si>
  <si>
    <t>Pokachu</t>
  </si>
  <si>
    <t>The Enlighten</t>
  </si>
  <si>
    <t>Knox Vegas Hammy</t>
  </si>
  <si>
    <t>Jcox787</t>
  </si>
  <si>
    <t>MrSingh2026</t>
  </si>
  <si>
    <t>Lucixdswyz</t>
  </si>
  <si>
    <t>fly in a blue dream</t>
  </si>
  <si>
    <t>PlugWon</t>
  </si>
  <si>
    <t>The big Bopper</t>
  </si>
  <si>
    <t>Tomaessa</t>
  </si>
  <si>
    <t>Skylsaa</t>
  </si>
  <si>
    <t>Omega Priime</t>
  </si>
  <si>
    <t>Whethackk</t>
  </si>
  <si>
    <t>GrannyT</t>
  </si>
  <si>
    <t>Babyy shark</t>
  </si>
  <si>
    <t>DarkSD03</t>
  </si>
  <si>
    <t>GlokkGirl</t>
  </si>
  <si>
    <t>xxRFRxx</t>
  </si>
  <si>
    <t>佐治挖泥</t>
  </si>
  <si>
    <t>라떼아이스2</t>
  </si>
  <si>
    <t>Foxxiegirl</t>
  </si>
  <si>
    <t>Fwaankmom</t>
  </si>
  <si>
    <t>Oquz61</t>
  </si>
  <si>
    <t>3rootstilk3</t>
  </si>
  <si>
    <t>Kavaz25</t>
  </si>
  <si>
    <t>vodkababara7</t>
  </si>
  <si>
    <t>Tibas2</t>
  </si>
  <si>
    <t>Punsilly</t>
  </si>
  <si>
    <t>CyborgS88</t>
  </si>
  <si>
    <t>Chateez</t>
  </si>
  <si>
    <t>Lady 906090</t>
  </si>
  <si>
    <t>Visgimir</t>
  </si>
  <si>
    <t>SuperZzZz</t>
  </si>
  <si>
    <t>Sassy Chicken</t>
  </si>
  <si>
    <t>Goody777</t>
  </si>
  <si>
    <t>Hokage IX</t>
  </si>
  <si>
    <t>Sulau</t>
  </si>
  <si>
    <t>Rogue Dahlia</t>
  </si>
  <si>
    <t>nDog cepLoK</t>
  </si>
  <si>
    <t>Vermutti</t>
  </si>
  <si>
    <t>Daryl Dixon1984</t>
  </si>
  <si>
    <t>Violence99</t>
  </si>
  <si>
    <t>GatorsALegend</t>
  </si>
  <si>
    <t>DaNoNinA</t>
  </si>
  <si>
    <t>CalonPolwan</t>
  </si>
  <si>
    <t>NiEvelka</t>
  </si>
  <si>
    <t>GiosMegalo</t>
  </si>
  <si>
    <t>RaYYY</t>
  </si>
  <si>
    <t>Padre007cf</t>
  </si>
  <si>
    <t>HunBro</t>
  </si>
  <si>
    <t>Crazy BuLL</t>
  </si>
  <si>
    <t>SkyInvalid</t>
  </si>
  <si>
    <t>♡ Elena ♡</t>
  </si>
  <si>
    <t>JennyBelle</t>
  </si>
  <si>
    <t>Bonifacy lub Filemon</t>
  </si>
  <si>
    <t>RustyMaverick</t>
  </si>
  <si>
    <t>kaazmaa</t>
  </si>
  <si>
    <t>Medoosaa</t>
  </si>
  <si>
    <t>Janeway44</t>
  </si>
  <si>
    <t>Firekeeper01</t>
  </si>
  <si>
    <t>marcoporco</t>
  </si>
  <si>
    <t>player_name</t>
  </si>
  <si>
    <t>rank</t>
  </si>
  <si>
    <t>Essam Abu Mughasib</t>
  </si>
  <si>
    <t>WOLF 2274</t>
  </si>
  <si>
    <t>Ờ  hớ</t>
  </si>
  <si>
    <t>Space   Ghost</t>
  </si>
  <si>
    <t>Player</t>
  </si>
  <si>
    <t>VS</t>
  </si>
  <si>
    <t>Power</t>
  </si>
  <si>
    <t>Composite</t>
  </si>
  <si>
    <t>Rank</t>
  </si>
  <si>
    <t>Queenery♡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</si>
</sst>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165" fontId="2" fillId="0" borderId="0" xfId="1" applyNumberFormat="1" applyFont="1" applyAlignment="1">
      <alignment horizontal="right"/>
    </xf>
    <xf numFmtId="165" fontId="0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9" fontId="0" fillId="0" borderId="0" xfId="2" applyFont="1" applyAlignment="1">
      <alignment horizontal="right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analysis!$E$2:$E$96</c:f>
              <c:numCache>
                <c:formatCode>0%</c:formatCode>
                <c:ptCount val="95"/>
                <c:pt idx="0">
                  <c:v>0.44600000000000001</c:v>
                </c:pt>
                <c:pt idx="1">
                  <c:v>0.91400000000000003</c:v>
                </c:pt>
                <c:pt idx="2">
                  <c:v>0.59499999999999997</c:v>
                </c:pt>
                <c:pt idx="3">
                  <c:v>4.2000000000000003E-2</c:v>
                </c:pt>
                <c:pt idx="4">
                  <c:v>0.127</c:v>
                </c:pt>
                <c:pt idx="5">
                  <c:v>0.23400000000000001</c:v>
                </c:pt>
                <c:pt idx="6">
                  <c:v>0.26500000000000001</c:v>
                </c:pt>
                <c:pt idx="7">
                  <c:v>0.48899999999999999</c:v>
                </c:pt>
                <c:pt idx="8">
                  <c:v>0.308</c:v>
                </c:pt>
                <c:pt idx="9">
                  <c:v>0.93600000000000005</c:v>
                </c:pt>
                <c:pt idx="10">
                  <c:v>0.82899999999999996</c:v>
                </c:pt>
                <c:pt idx="11">
                  <c:v>0.65900000000000003</c:v>
                </c:pt>
                <c:pt idx="12">
                  <c:v>3.1E-2</c:v>
                </c:pt>
                <c:pt idx="13">
                  <c:v>0.01</c:v>
                </c:pt>
                <c:pt idx="14">
                  <c:v>0.89300000000000002</c:v>
                </c:pt>
                <c:pt idx="15">
                  <c:v>0.64800000000000002</c:v>
                </c:pt>
                <c:pt idx="16">
                  <c:v>0.81899999999999995</c:v>
                </c:pt>
                <c:pt idx="17">
                  <c:v>0.5</c:v>
                </c:pt>
                <c:pt idx="18">
                  <c:v>0.78700000000000003</c:v>
                </c:pt>
                <c:pt idx="19">
                  <c:v>0.159</c:v>
                </c:pt>
                <c:pt idx="20">
                  <c:v>0.106</c:v>
                </c:pt>
                <c:pt idx="21">
                  <c:v>0.98899999999999999</c:v>
                </c:pt>
                <c:pt idx="22">
                  <c:v>0.39300000000000002</c:v>
                </c:pt>
                <c:pt idx="23">
                  <c:v>0.56299999999999994</c:v>
                </c:pt>
                <c:pt idx="24">
                  <c:v>0.57399999999999995</c:v>
                </c:pt>
                <c:pt idx="25">
                  <c:v>0.80800000000000005</c:v>
                </c:pt>
                <c:pt idx="26">
                  <c:v>2.1000000000000001E-2</c:v>
                </c:pt>
                <c:pt idx="27">
                  <c:v>0.85099999999999998</c:v>
                </c:pt>
                <c:pt idx="28">
                  <c:v>0.24399999999999999</c:v>
                </c:pt>
                <c:pt idx="29">
                  <c:v>0.51</c:v>
                </c:pt>
                <c:pt idx="30">
                  <c:v>0.71199999999999997</c:v>
                </c:pt>
                <c:pt idx="31">
                  <c:v>0.47799999999999998</c:v>
                </c:pt>
                <c:pt idx="32">
                  <c:v>0.255</c:v>
                </c:pt>
                <c:pt idx="33">
                  <c:v>0</c:v>
                </c:pt>
                <c:pt idx="34">
                  <c:v>0.73399999999999999</c:v>
                </c:pt>
                <c:pt idx="35">
                  <c:v>0.88200000000000001</c:v>
                </c:pt>
                <c:pt idx="36">
                  <c:v>0.97799999999999998</c:v>
                </c:pt>
                <c:pt idx="37">
                  <c:v>0.36099999999999999</c:v>
                </c:pt>
                <c:pt idx="38">
                  <c:v>0.92500000000000004</c:v>
                </c:pt>
                <c:pt idx="39">
                  <c:v>0.95699999999999996</c:v>
                </c:pt>
                <c:pt idx="40">
                  <c:v>0.60599999999999998</c:v>
                </c:pt>
                <c:pt idx="41">
                  <c:v>0.21199999999999999</c:v>
                </c:pt>
                <c:pt idx="42">
                  <c:v>0.35099999999999998</c:v>
                </c:pt>
                <c:pt idx="43">
                  <c:v>0.11700000000000001</c:v>
                </c:pt>
                <c:pt idx="44">
                  <c:v>0.67</c:v>
                </c:pt>
                <c:pt idx="45">
                  <c:v>0.191</c:v>
                </c:pt>
                <c:pt idx="46">
                  <c:v>0.38200000000000001</c:v>
                </c:pt>
                <c:pt idx="47">
                  <c:v>9.5000000000000001E-2</c:v>
                </c:pt>
                <c:pt idx="48">
                  <c:v>0.20200000000000001</c:v>
                </c:pt>
                <c:pt idx="49">
                  <c:v>1</c:v>
                </c:pt>
                <c:pt idx="50">
                  <c:v>0.223</c:v>
                </c:pt>
                <c:pt idx="51">
                  <c:v>0.96799999999999997</c:v>
                </c:pt>
                <c:pt idx="52">
                  <c:v>0.372</c:v>
                </c:pt>
                <c:pt idx="53">
                  <c:v>0.76500000000000001</c:v>
                </c:pt>
                <c:pt idx="54">
                  <c:v>0.84</c:v>
                </c:pt>
                <c:pt idx="55">
                  <c:v>0.72299999999999998</c:v>
                </c:pt>
                <c:pt idx="56">
                  <c:v>0.45700000000000002</c:v>
                </c:pt>
                <c:pt idx="57">
                  <c:v>0.58499999999999996</c:v>
                </c:pt>
                <c:pt idx="58">
                  <c:v>0.872</c:v>
                </c:pt>
                <c:pt idx="59">
                  <c:v>0.40400000000000003</c:v>
                </c:pt>
                <c:pt idx="60">
                  <c:v>0.32900000000000001</c:v>
                </c:pt>
                <c:pt idx="61">
                  <c:v>0.63800000000000001</c:v>
                </c:pt>
                <c:pt idx="62">
                  <c:v>0.28699999999999998</c:v>
                </c:pt>
                <c:pt idx="63">
                  <c:v>0.86099999999999999</c:v>
                </c:pt>
                <c:pt idx="64">
                  <c:v>0.755</c:v>
                </c:pt>
                <c:pt idx="65">
                  <c:v>0.94599999999999995</c:v>
                </c:pt>
                <c:pt idx="66">
                  <c:v>0.70199999999999996</c:v>
                </c:pt>
                <c:pt idx="67">
                  <c:v>0.90400000000000003</c:v>
                </c:pt>
                <c:pt idx="68">
                  <c:v>0.436</c:v>
                </c:pt>
                <c:pt idx="69">
                  <c:v>0.14799999999999999</c:v>
                </c:pt>
                <c:pt idx="70">
                  <c:v>0.53100000000000003</c:v>
                </c:pt>
                <c:pt idx="71">
                  <c:v>5.2999999999999999E-2</c:v>
                </c:pt>
                <c:pt idx="72">
                  <c:v>6.3E-2</c:v>
                </c:pt>
                <c:pt idx="73">
                  <c:v>0.74399999999999999</c:v>
                </c:pt>
                <c:pt idx="74">
                  <c:v>0.69099999999999995</c:v>
                </c:pt>
                <c:pt idx="75">
                  <c:v>0.29699999999999999</c:v>
                </c:pt>
                <c:pt idx="76">
                  <c:v>7.3999999999999996E-2</c:v>
                </c:pt>
                <c:pt idx="77">
                  <c:v>0.41399999999999998</c:v>
                </c:pt>
                <c:pt idx="78">
                  <c:v>0.34</c:v>
                </c:pt>
                <c:pt idx="79">
                  <c:v>0.627</c:v>
                </c:pt>
                <c:pt idx="80">
                  <c:v>0.42499999999999999</c:v>
                </c:pt>
                <c:pt idx="81">
                  <c:v>0.17</c:v>
                </c:pt>
                <c:pt idx="82">
                  <c:v>0.77600000000000002</c:v>
                </c:pt>
                <c:pt idx="83">
                  <c:v>0.31900000000000001</c:v>
                </c:pt>
                <c:pt idx="84">
                  <c:v>0.79700000000000004</c:v>
                </c:pt>
                <c:pt idx="85">
                  <c:v>0.68</c:v>
                </c:pt>
                <c:pt idx="86">
                  <c:v>0.61699999999999999</c:v>
                </c:pt>
                <c:pt idx="87">
                  <c:v>8.5000000000000006E-2</c:v>
                </c:pt>
                <c:pt idx="88">
                  <c:v>0.46800000000000003</c:v>
                </c:pt>
                <c:pt idx="89">
                  <c:v>0.18</c:v>
                </c:pt>
                <c:pt idx="90">
                  <c:v>0.52100000000000002</c:v>
                </c:pt>
                <c:pt idx="91">
                  <c:v>0.13800000000000001</c:v>
                </c:pt>
                <c:pt idx="92">
                  <c:v>0.27600000000000002</c:v>
                </c:pt>
                <c:pt idx="93">
                  <c:v>0.55300000000000005</c:v>
                </c:pt>
                <c:pt idx="94">
                  <c:v>0.54200000000000004</c:v>
                </c:pt>
              </c:numCache>
            </c:numRef>
          </c:xVal>
          <c:yVal>
            <c:numRef>
              <c:f>analysis!$F$2:$F$96</c:f>
              <c:numCache>
                <c:formatCode>0%</c:formatCode>
                <c:ptCount val="95"/>
                <c:pt idx="0">
                  <c:v>0.80800000000000005</c:v>
                </c:pt>
                <c:pt idx="1">
                  <c:v>0.51</c:v>
                </c:pt>
                <c:pt idx="2">
                  <c:v>0.106</c:v>
                </c:pt>
                <c:pt idx="3">
                  <c:v>0.48899999999999999</c:v>
                </c:pt>
                <c:pt idx="4">
                  <c:v>0.69099999999999995</c:v>
                </c:pt>
                <c:pt idx="5">
                  <c:v>0.191</c:v>
                </c:pt>
                <c:pt idx="6">
                  <c:v>0.372</c:v>
                </c:pt>
                <c:pt idx="7">
                  <c:v>0.85099999999999998</c:v>
                </c:pt>
                <c:pt idx="8">
                  <c:v>4.2000000000000003E-2</c:v>
                </c:pt>
                <c:pt idx="9">
                  <c:v>0.72299999999999998</c:v>
                </c:pt>
                <c:pt idx="10">
                  <c:v>0.29699999999999999</c:v>
                </c:pt>
                <c:pt idx="11">
                  <c:v>0.35099999999999998</c:v>
                </c:pt>
                <c:pt idx="12">
                  <c:v>0</c:v>
                </c:pt>
                <c:pt idx="13">
                  <c:v>0.98899999999999999</c:v>
                </c:pt>
                <c:pt idx="14">
                  <c:v>0.59499999999999997</c:v>
                </c:pt>
                <c:pt idx="15">
                  <c:v>0.73399999999999999</c:v>
                </c:pt>
                <c:pt idx="16">
                  <c:v>0.13800000000000001</c:v>
                </c:pt>
                <c:pt idx="17">
                  <c:v>7.3999999999999996E-2</c:v>
                </c:pt>
                <c:pt idx="18">
                  <c:v>0.71199999999999997</c:v>
                </c:pt>
                <c:pt idx="19">
                  <c:v>8.5000000000000006E-2</c:v>
                </c:pt>
                <c:pt idx="20">
                  <c:v>0.31900000000000001</c:v>
                </c:pt>
                <c:pt idx="21">
                  <c:v>0.81899999999999995</c:v>
                </c:pt>
                <c:pt idx="22">
                  <c:v>0.23400000000000001</c:v>
                </c:pt>
                <c:pt idx="23">
                  <c:v>0.34</c:v>
                </c:pt>
                <c:pt idx="24">
                  <c:v>5.2999999999999999E-2</c:v>
                </c:pt>
                <c:pt idx="25">
                  <c:v>0.94599999999999995</c:v>
                </c:pt>
                <c:pt idx="26">
                  <c:v>0.47799999999999998</c:v>
                </c:pt>
                <c:pt idx="27">
                  <c:v>0.20200000000000001</c:v>
                </c:pt>
                <c:pt idx="28">
                  <c:v>0.56299999999999994</c:v>
                </c:pt>
                <c:pt idx="29">
                  <c:v>0.5</c:v>
                </c:pt>
                <c:pt idx="30">
                  <c:v>0.67</c:v>
                </c:pt>
                <c:pt idx="31">
                  <c:v>0.86099999999999999</c:v>
                </c:pt>
                <c:pt idx="32">
                  <c:v>0.64800000000000002</c:v>
                </c:pt>
                <c:pt idx="33">
                  <c:v>0.255</c:v>
                </c:pt>
                <c:pt idx="34">
                  <c:v>0.53100000000000003</c:v>
                </c:pt>
                <c:pt idx="35">
                  <c:v>0.89300000000000002</c:v>
                </c:pt>
                <c:pt idx="36">
                  <c:v>0.63800000000000001</c:v>
                </c:pt>
                <c:pt idx="37">
                  <c:v>0.17</c:v>
                </c:pt>
                <c:pt idx="38">
                  <c:v>0.95699999999999996</c:v>
                </c:pt>
                <c:pt idx="39">
                  <c:v>0.93600000000000005</c:v>
                </c:pt>
                <c:pt idx="40">
                  <c:v>0.436</c:v>
                </c:pt>
                <c:pt idx="41">
                  <c:v>0.57399999999999995</c:v>
                </c:pt>
                <c:pt idx="42">
                  <c:v>0.627</c:v>
                </c:pt>
                <c:pt idx="43">
                  <c:v>0.46800000000000003</c:v>
                </c:pt>
                <c:pt idx="44">
                  <c:v>0.42499999999999999</c:v>
                </c:pt>
                <c:pt idx="45">
                  <c:v>2.1000000000000001E-2</c:v>
                </c:pt>
                <c:pt idx="46">
                  <c:v>0.39300000000000002</c:v>
                </c:pt>
                <c:pt idx="47">
                  <c:v>0.01</c:v>
                </c:pt>
                <c:pt idx="48">
                  <c:v>0.78700000000000003</c:v>
                </c:pt>
                <c:pt idx="49">
                  <c:v>0.55300000000000005</c:v>
                </c:pt>
                <c:pt idx="50">
                  <c:v>0.41399999999999998</c:v>
                </c:pt>
                <c:pt idx="51">
                  <c:v>0.88200000000000001</c:v>
                </c:pt>
                <c:pt idx="52">
                  <c:v>0.74399999999999999</c:v>
                </c:pt>
                <c:pt idx="53">
                  <c:v>0.54200000000000004</c:v>
                </c:pt>
                <c:pt idx="54">
                  <c:v>0.90400000000000003</c:v>
                </c:pt>
                <c:pt idx="55">
                  <c:v>0.60599999999999998</c:v>
                </c:pt>
                <c:pt idx="56">
                  <c:v>0.11700000000000001</c:v>
                </c:pt>
                <c:pt idx="57">
                  <c:v>0.68</c:v>
                </c:pt>
                <c:pt idx="58">
                  <c:v>0.70199999999999996</c:v>
                </c:pt>
                <c:pt idx="59">
                  <c:v>0.26500000000000001</c:v>
                </c:pt>
                <c:pt idx="60">
                  <c:v>9.5000000000000001E-2</c:v>
                </c:pt>
                <c:pt idx="61">
                  <c:v>0.308</c:v>
                </c:pt>
                <c:pt idx="62">
                  <c:v>0.77600000000000002</c:v>
                </c:pt>
                <c:pt idx="63">
                  <c:v>0.92500000000000004</c:v>
                </c:pt>
                <c:pt idx="64">
                  <c:v>1</c:v>
                </c:pt>
                <c:pt idx="65">
                  <c:v>0.79700000000000004</c:v>
                </c:pt>
                <c:pt idx="66">
                  <c:v>0.872</c:v>
                </c:pt>
                <c:pt idx="67">
                  <c:v>0.755</c:v>
                </c:pt>
                <c:pt idx="68">
                  <c:v>0.45700000000000002</c:v>
                </c:pt>
                <c:pt idx="69">
                  <c:v>0.24399999999999999</c:v>
                </c:pt>
                <c:pt idx="70">
                  <c:v>0.65900000000000003</c:v>
                </c:pt>
                <c:pt idx="71">
                  <c:v>0.21199999999999999</c:v>
                </c:pt>
                <c:pt idx="72">
                  <c:v>0.223</c:v>
                </c:pt>
                <c:pt idx="73">
                  <c:v>0.27600000000000002</c:v>
                </c:pt>
                <c:pt idx="74">
                  <c:v>0.76500000000000001</c:v>
                </c:pt>
                <c:pt idx="75">
                  <c:v>0.159</c:v>
                </c:pt>
                <c:pt idx="76">
                  <c:v>0.52100000000000002</c:v>
                </c:pt>
                <c:pt idx="77">
                  <c:v>0.61699999999999999</c:v>
                </c:pt>
                <c:pt idx="78">
                  <c:v>0.32900000000000001</c:v>
                </c:pt>
                <c:pt idx="79">
                  <c:v>0.14799999999999999</c:v>
                </c:pt>
                <c:pt idx="80">
                  <c:v>0.18</c:v>
                </c:pt>
                <c:pt idx="81">
                  <c:v>3.1E-2</c:v>
                </c:pt>
                <c:pt idx="82">
                  <c:v>0.84</c:v>
                </c:pt>
                <c:pt idx="83">
                  <c:v>0.40400000000000003</c:v>
                </c:pt>
                <c:pt idx="84">
                  <c:v>0.96799999999999997</c:v>
                </c:pt>
                <c:pt idx="85">
                  <c:v>0.91400000000000003</c:v>
                </c:pt>
                <c:pt idx="86">
                  <c:v>6.3E-2</c:v>
                </c:pt>
                <c:pt idx="87">
                  <c:v>0.127</c:v>
                </c:pt>
                <c:pt idx="88">
                  <c:v>0.58499999999999996</c:v>
                </c:pt>
                <c:pt idx="89">
                  <c:v>0.38200000000000001</c:v>
                </c:pt>
                <c:pt idx="90">
                  <c:v>0.36099999999999999</c:v>
                </c:pt>
                <c:pt idx="91">
                  <c:v>0.44600000000000001</c:v>
                </c:pt>
                <c:pt idx="92">
                  <c:v>0.28699999999999998</c:v>
                </c:pt>
                <c:pt idx="93">
                  <c:v>0.82899999999999996</c:v>
                </c:pt>
                <c:pt idx="94">
                  <c:v>0.97799999999999998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1F-4EB4-86A5-881CAF9A44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875504"/>
        <c:axId val="736875984"/>
      </c:scatterChart>
      <c:valAx>
        <c:axId val="736875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WTD VS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984"/>
        <c:crosses val="autoZero"/>
        <c:crossBetween val="midCat"/>
      </c:valAx>
      <c:valAx>
        <c:axId val="736875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Power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6875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205740</xdr:colOff>
      <xdr:row>0</xdr:row>
      <xdr:rowOff>121920</xdr:rowOff>
    </xdr:from>
    <xdr:to>
      <xdr:col>18</xdr:col>
      <xdr:colOff>510540</xdr:colOff>
      <xdr:row>15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15CBD1-88F0-41BF-981C-69289A6207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03F2-8926-4C01-BA57-6D8896DC3284}">
  <dimension ref="A1:C96"/>
  <sheetViews>
    <sheetView tabSelected="1" topLeftCell="A22" workbookViewId="0">
      <selection activeCell="C68" sqref="C68"/>
    </sheetView>
  </sheetViews>
  <sheetFormatPr defaultRowHeight="14.4" x14ac:dyDescent="0.3"/>
  <cols>
    <col min="2" max="2" width="20.21875" bestFit="1" customWidth="1"/>
    <col min="3" max="3" width="9" bestFit="1" customWidth="1"/>
  </cols>
  <sheetData>
    <row r="1" spans="1:3" x14ac:dyDescent="0.3">
      <c r="A1" t="s">
        <v>91</v>
      </c>
      <c r="B1" t="s">
        <v>90</v>
      </c>
      <c r="C1" t="s">
        <v>97</v>
      </c>
    </row>
    <row r="2" spans="1:3" x14ac:dyDescent="0.3">
      <c r="A2">
        <v>1</v>
      </c>
      <c r="B2" t="s">
        <v>89</v>
      </c>
      <c r="C2">
        <v>12415346</v>
      </c>
    </row>
    <row r="3" spans="1:3" x14ac:dyDescent="0.3">
      <c r="A3">
        <v>2</v>
      </c>
      <c r="B3" t="s">
        <v>88</v>
      </c>
      <c r="C3">
        <v>12245364</v>
      </c>
    </row>
    <row r="4" spans="1:3" x14ac:dyDescent="0.3">
      <c r="A4">
        <v>3</v>
      </c>
      <c r="B4" t="s">
        <v>87</v>
      </c>
      <c r="C4">
        <v>11634735</v>
      </c>
    </row>
    <row r="5" spans="1:3" x14ac:dyDescent="0.3">
      <c r="A5">
        <v>4</v>
      </c>
      <c r="B5" t="s">
        <v>86</v>
      </c>
      <c r="C5">
        <v>10569143</v>
      </c>
    </row>
    <row r="6" spans="1:3" x14ac:dyDescent="0.3">
      <c r="A6">
        <v>5</v>
      </c>
      <c r="B6" t="s">
        <v>85</v>
      </c>
      <c r="C6">
        <v>9314206</v>
      </c>
    </row>
    <row r="7" spans="1:3" x14ac:dyDescent="0.3">
      <c r="A7">
        <v>6</v>
      </c>
      <c r="B7" t="s">
        <v>84</v>
      </c>
      <c r="C7">
        <v>9247571</v>
      </c>
    </row>
    <row r="8" spans="1:3" x14ac:dyDescent="0.3">
      <c r="A8">
        <v>7</v>
      </c>
      <c r="B8" t="s">
        <v>83</v>
      </c>
      <c r="C8">
        <v>8931884</v>
      </c>
    </row>
    <row r="9" spans="1:3" x14ac:dyDescent="0.3">
      <c r="A9">
        <v>8</v>
      </c>
      <c r="B9" t="s">
        <v>82</v>
      </c>
      <c r="C9">
        <v>8603326</v>
      </c>
    </row>
    <row r="10" spans="1:3" x14ac:dyDescent="0.3">
      <c r="A10">
        <v>9</v>
      </c>
      <c r="B10" t="s">
        <v>81</v>
      </c>
      <c r="C10">
        <v>6966055</v>
      </c>
    </row>
    <row r="11" spans="1:3" x14ac:dyDescent="0.3">
      <c r="A11">
        <v>10</v>
      </c>
      <c r="B11" t="s">
        <v>80</v>
      </c>
      <c r="C11">
        <v>6863684</v>
      </c>
    </row>
    <row r="12" spans="1:3" x14ac:dyDescent="0.3">
      <c r="A12">
        <v>11</v>
      </c>
      <c r="B12" t="s">
        <v>79</v>
      </c>
      <c r="C12">
        <v>6797175</v>
      </c>
    </row>
    <row r="13" spans="1:3" x14ac:dyDescent="0.3">
      <c r="A13">
        <v>12</v>
      </c>
      <c r="B13" t="s">
        <v>78</v>
      </c>
      <c r="C13">
        <v>6733809</v>
      </c>
    </row>
    <row r="14" spans="1:3" x14ac:dyDescent="0.3">
      <c r="A14">
        <v>13</v>
      </c>
      <c r="B14" t="s">
        <v>77</v>
      </c>
      <c r="C14">
        <v>6645174</v>
      </c>
    </row>
    <row r="15" spans="1:3" x14ac:dyDescent="0.3">
      <c r="A15">
        <v>14</v>
      </c>
      <c r="B15" t="s">
        <v>76</v>
      </c>
      <c r="C15">
        <v>6451253</v>
      </c>
    </row>
    <row r="16" spans="1:3" x14ac:dyDescent="0.3">
      <c r="A16">
        <v>15</v>
      </c>
      <c r="B16" t="s">
        <v>75</v>
      </c>
      <c r="C16">
        <v>6387590</v>
      </c>
    </row>
    <row r="17" spans="1:3" x14ac:dyDescent="0.3">
      <c r="A17">
        <v>16</v>
      </c>
      <c r="B17" t="s">
        <v>74</v>
      </c>
      <c r="C17">
        <v>6330561</v>
      </c>
    </row>
    <row r="18" spans="1:3" x14ac:dyDescent="0.3">
      <c r="A18">
        <v>17</v>
      </c>
      <c r="B18" t="s">
        <v>73</v>
      </c>
      <c r="C18">
        <v>6146150</v>
      </c>
    </row>
    <row r="19" spans="1:3" x14ac:dyDescent="0.3">
      <c r="A19">
        <v>18</v>
      </c>
      <c r="B19" t="s">
        <v>72</v>
      </c>
      <c r="C19">
        <v>6143355</v>
      </c>
    </row>
    <row r="20" spans="1:3" x14ac:dyDescent="0.3">
      <c r="A20">
        <v>19</v>
      </c>
      <c r="B20" t="s">
        <v>71</v>
      </c>
      <c r="C20">
        <v>6115380</v>
      </c>
    </row>
    <row r="21" spans="1:3" x14ac:dyDescent="0.3">
      <c r="A21">
        <v>20</v>
      </c>
      <c r="B21" t="s">
        <v>70</v>
      </c>
      <c r="C21">
        <v>6040919</v>
      </c>
    </row>
    <row r="22" spans="1:3" x14ac:dyDescent="0.3">
      <c r="A22">
        <v>21</v>
      </c>
      <c r="B22" t="s">
        <v>69</v>
      </c>
      <c r="C22">
        <v>6013376</v>
      </c>
    </row>
    <row r="23" spans="1:3" x14ac:dyDescent="0.3">
      <c r="A23">
        <v>22</v>
      </c>
      <c r="B23" t="s">
        <v>68</v>
      </c>
      <c r="C23">
        <v>6008329</v>
      </c>
    </row>
    <row r="24" spans="1:3" x14ac:dyDescent="0.3">
      <c r="A24">
        <v>23</v>
      </c>
      <c r="B24" t="s">
        <v>67</v>
      </c>
      <c r="C24">
        <v>5969930</v>
      </c>
    </row>
    <row r="25" spans="1:3" x14ac:dyDescent="0.3">
      <c r="A25">
        <v>24</v>
      </c>
      <c r="B25" t="s">
        <v>66</v>
      </c>
      <c r="C25">
        <v>5904086</v>
      </c>
    </row>
    <row r="26" spans="1:3" x14ac:dyDescent="0.3">
      <c r="A26">
        <v>25</v>
      </c>
      <c r="B26" t="s">
        <v>65</v>
      </c>
      <c r="C26">
        <v>5730280</v>
      </c>
    </row>
    <row r="27" spans="1:3" x14ac:dyDescent="0.3">
      <c r="A27">
        <v>26</v>
      </c>
      <c r="B27" t="s">
        <v>64</v>
      </c>
      <c r="C27">
        <v>5638493</v>
      </c>
    </row>
    <row r="28" spans="1:3" x14ac:dyDescent="0.3">
      <c r="A28">
        <v>27</v>
      </c>
      <c r="B28" t="s">
        <v>94</v>
      </c>
      <c r="C28">
        <v>5636919</v>
      </c>
    </row>
    <row r="29" spans="1:3" x14ac:dyDescent="0.3">
      <c r="A29">
        <v>28</v>
      </c>
      <c r="B29" t="s">
        <v>63</v>
      </c>
      <c r="C29">
        <v>5553839</v>
      </c>
    </row>
    <row r="30" spans="1:3" x14ac:dyDescent="0.3">
      <c r="A30">
        <v>29</v>
      </c>
      <c r="B30" t="s">
        <v>62</v>
      </c>
      <c r="C30">
        <v>5225717</v>
      </c>
    </row>
    <row r="31" spans="1:3" x14ac:dyDescent="0.3">
      <c r="A31">
        <v>30</v>
      </c>
      <c r="B31" t="s">
        <v>61</v>
      </c>
      <c r="C31">
        <v>5225346</v>
      </c>
    </row>
    <row r="32" spans="1:3" x14ac:dyDescent="0.3">
      <c r="A32">
        <v>31</v>
      </c>
      <c r="B32" t="s">
        <v>60</v>
      </c>
      <c r="C32">
        <v>5128448</v>
      </c>
    </row>
    <row r="33" spans="1:3" x14ac:dyDescent="0.3">
      <c r="A33">
        <v>32</v>
      </c>
      <c r="B33" t="s">
        <v>59</v>
      </c>
      <c r="C33">
        <v>4995656</v>
      </c>
    </row>
    <row r="34" spans="1:3" x14ac:dyDescent="0.3">
      <c r="A34">
        <v>33</v>
      </c>
      <c r="B34" t="s">
        <v>58</v>
      </c>
      <c r="C34">
        <v>4935573</v>
      </c>
    </row>
    <row r="35" spans="1:3" x14ac:dyDescent="0.3">
      <c r="A35">
        <v>34</v>
      </c>
      <c r="B35" t="s">
        <v>57</v>
      </c>
      <c r="C35">
        <v>4869154</v>
      </c>
    </row>
    <row r="36" spans="1:3" x14ac:dyDescent="0.3">
      <c r="A36">
        <v>35</v>
      </c>
      <c r="B36" t="s">
        <v>56</v>
      </c>
      <c r="C36">
        <v>4837386</v>
      </c>
    </row>
    <row r="37" spans="1:3" x14ac:dyDescent="0.3">
      <c r="A37">
        <v>36</v>
      </c>
      <c r="B37" t="s">
        <v>55</v>
      </c>
      <c r="C37">
        <v>4641189</v>
      </c>
    </row>
    <row r="38" spans="1:3" x14ac:dyDescent="0.3">
      <c r="A38">
        <v>37</v>
      </c>
      <c r="B38" t="s">
        <v>54</v>
      </c>
      <c r="C38">
        <v>4576300</v>
      </c>
    </row>
    <row r="39" spans="1:3" x14ac:dyDescent="0.3">
      <c r="A39">
        <v>38</v>
      </c>
      <c r="B39" t="s">
        <v>53</v>
      </c>
      <c r="C39">
        <v>4523804</v>
      </c>
    </row>
    <row r="40" spans="1:3" x14ac:dyDescent="0.3">
      <c r="A40">
        <v>39</v>
      </c>
      <c r="B40" t="s">
        <v>52</v>
      </c>
      <c r="C40">
        <v>4448558</v>
      </c>
    </row>
    <row r="41" spans="1:3" x14ac:dyDescent="0.3">
      <c r="A41">
        <v>40</v>
      </c>
      <c r="B41" t="s">
        <v>51</v>
      </c>
      <c r="C41">
        <v>4411775</v>
      </c>
    </row>
    <row r="42" spans="1:3" x14ac:dyDescent="0.3">
      <c r="A42">
        <v>41</v>
      </c>
      <c r="B42" t="s">
        <v>50</v>
      </c>
      <c r="C42">
        <v>4404572</v>
      </c>
    </row>
    <row r="43" spans="1:3" x14ac:dyDescent="0.3">
      <c r="A43">
        <v>42</v>
      </c>
      <c r="B43" t="s">
        <v>49</v>
      </c>
      <c r="C43">
        <v>4337158</v>
      </c>
    </row>
    <row r="44" spans="1:3" x14ac:dyDescent="0.3">
      <c r="A44">
        <v>43</v>
      </c>
      <c r="B44" t="s">
        <v>48</v>
      </c>
      <c r="C44">
        <v>4322394</v>
      </c>
    </row>
    <row r="45" spans="1:3" x14ac:dyDescent="0.3">
      <c r="A45">
        <v>44</v>
      </c>
      <c r="B45" t="s">
        <v>47</v>
      </c>
      <c r="C45">
        <v>4206739</v>
      </c>
    </row>
    <row r="46" spans="1:3" x14ac:dyDescent="0.3">
      <c r="A46">
        <v>45</v>
      </c>
      <c r="B46" t="s">
        <v>95</v>
      </c>
      <c r="C46">
        <v>4189911</v>
      </c>
    </row>
    <row r="47" spans="1:3" x14ac:dyDescent="0.3">
      <c r="A47">
        <v>46</v>
      </c>
      <c r="B47" t="s">
        <v>46</v>
      </c>
      <c r="C47">
        <v>4149133</v>
      </c>
    </row>
    <row r="48" spans="1:3" x14ac:dyDescent="0.3">
      <c r="A48">
        <v>47</v>
      </c>
      <c r="B48" t="s">
        <v>45</v>
      </c>
      <c r="C48">
        <v>4094452</v>
      </c>
    </row>
    <row r="49" spans="1:3" x14ac:dyDescent="0.3">
      <c r="A49">
        <v>48</v>
      </c>
      <c r="B49" t="s">
        <v>44</v>
      </c>
      <c r="C49">
        <v>4017933</v>
      </c>
    </row>
    <row r="50" spans="1:3" x14ac:dyDescent="0.3">
      <c r="A50">
        <v>49</v>
      </c>
      <c r="B50" t="s">
        <v>43</v>
      </c>
      <c r="C50">
        <v>4007714</v>
      </c>
    </row>
    <row r="51" spans="1:3" x14ac:dyDescent="0.3">
      <c r="A51">
        <v>50</v>
      </c>
      <c r="B51" t="s">
        <v>42</v>
      </c>
      <c r="C51">
        <v>4003559</v>
      </c>
    </row>
    <row r="52" spans="1:3" x14ac:dyDescent="0.3">
      <c r="A52">
        <v>51</v>
      </c>
      <c r="B52" t="s">
        <v>41</v>
      </c>
      <c r="C52">
        <v>3962431</v>
      </c>
    </row>
    <row r="53" spans="1:3" x14ac:dyDescent="0.3">
      <c r="A53">
        <v>52</v>
      </c>
      <c r="B53" t="s">
        <v>40</v>
      </c>
      <c r="C53">
        <v>3919064</v>
      </c>
    </row>
    <row r="54" spans="1:3" x14ac:dyDescent="0.3">
      <c r="A54">
        <v>53</v>
      </c>
      <c r="B54" t="s">
        <v>101</v>
      </c>
      <c r="C54">
        <v>3918479</v>
      </c>
    </row>
    <row r="55" spans="1:3" x14ac:dyDescent="0.3">
      <c r="A55">
        <v>54</v>
      </c>
      <c r="B55" t="s">
        <v>39</v>
      </c>
      <c r="C55">
        <v>3863563</v>
      </c>
    </row>
    <row r="56" spans="1:3" x14ac:dyDescent="0.3">
      <c r="A56">
        <v>55</v>
      </c>
      <c r="B56" t="s">
        <v>38</v>
      </c>
      <c r="C56">
        <v>3831240</v>
      </c>
    </row>
    <row r="57" spans="1:3" x14ac:dyDescent="0.3">
      <c r="A57">
        <v>56</v>
      </c>
      <c r="B57" t="s">
        <v>37</v>
      </c>
      <c r="C57">
        <v>3799003</v>
      </c>
    </row>
    <row r="58" spans="1:3" x14ac:dyDescent="0.3">
      <c r="A58">
        <v>57</v>
      </c>
      <c r="B58" t="s">
        <v>36</v>
      </c>
      <c r="C58">
        <v>3747996</v>
      </c>
    </row>
    <row r="59" spans="1:3" x14ac:dyDescent="0.3">
      <c r="A59">
        <v>58</v>
      </c>
      <c r="B59" t="s">
        <v>35</v>
      </c>
      <c r="C59">
        <v>3719900</v>
      </c>
    </row>
    <row r="60" spans="1:3" x14ac:dyDescent="0.3">
      <c r="A60">
        <v>59</v>
      </c>
      <c r="B60" t="s">
        <v>34</v>
      </c>
      <c r="C60">
        <v>3296653</v>
      </c>
    </row>
    <row r="61" spans="1:3" x14ac:dyDescent="0.3">
      <c r="A61">
        <v>60</v>
      </c>
      <c r="B61" t="s">
        <v>33</v>
      </c>
      <c r="C61">
        <v>3262380</v>
      </c>
    </row>
    <row r="62" spans="1:3" x14ac:dyDescent="0.3">
      <c r="A62">
        <v>61</v>
      </c>
      <c r="B62" t="s">
        <v>32</v>
      </c>
      <c r="C62">
        <v>3075077</v>
      </c>
    </row>
    <row r="63" spans="1:3" x14ac:dyDescent="0.3">
      <c r="A63">
        <v>62</v>
      </c>
      <c r="B63" t="s">
        <v>31</v>
      </c>
      <c r="C63">
        <v>2890318</v>
      </c>
    </row>
    <row r="64" spans="1:3" x14ac:dyDescent="0.3">
      <c r="A64">
        <v>63</v>
      </c>
      <c r="B64" t="s">
        <v>30</v>
      </c>
      <c r="C64">
        <v>2775719</v>
      </c>
    </row>
    <row r="65" spans="1:3" x14ac:dyDescent="0.3">
      <c r="A65">
        <v>64</v>
      </c>
      <c r="B65" t="s">
        <v>29</v>
      </c>
      <c r="C65">
        <v>2775200</v>
      </c>
    </row>
    <row r="66" spans="1:3" x14ac:dyDescent="0.3">
      <c r="A66">
        <v>65</v>
      </c>
      <c r="B66" t="s">
        <v>28</v>
      </c>
      <c r="C66">
        <v>2766540</v>
      </c>
    </row>
    <row r="67" spans="1:3" x14ac:dyDescent="0.3">
      <c r="A67">
        <v>66</v>
      </c>
      <c r="B67" t="s">
        <v>27</v>
      </c>
      <c r="C67">
        <v>2754992</v>
      </c>
    </row>
    <row r="68" spans="1:3" x14ac:dyDescent="0.3">
      <c r="A68">
        <v>67</v>
      </c>
      <c r="B68" t="s">
        <v>26</v>
      </c>
      <c r="C68">
        <v>2736811</v>
      </c>
    </row>
    <row r="69" spans="1:3" x14ac:dyDescent="0.3">
      <c r="A69">
        <v>68</v>
      </c>
      <c r="B69" t="s">
        <v>25</v>
      </c>
      <c r="C69">
        <v>2735954</v>
      </c>
    </row>
    <row r="70" spans="1:3" x14ac:dyDescent="0.3">
      <c r="A70">
        <v>69</v>
      </c>
      <c r="B70" t="s">
        <v>24</v>
      </c>
      <c r="C70">
        <v>2349397</v>
      </c>
    </row>
    <row r="71" spans="1:3" x14ac:dyDescent="0.3">
      <c r="A71">
        <v>70</v>
      </c>
      <c r="B71" t="s">
        <v>23</v>
      </c>
      <c r="C71">
        <v>2264183</v>
      </c>
    </row>
    <row r="72" spans="1:3" x14ac:dyDescent="0.3">
      <c r="A72">
        <v>71</v>
      </c>
      <c r="B72" t="s">
        <v>22</v>
      </c>
      <c r="C72">
        <v>2230810</v>
      </c>
    </row>
    <row r="73" spans="1:3" x14ac:dyDescent="0.3">
      <c r="A73">
        <v>72</v>
      </c>
      <c r="B73" t="s">
        <v>21</v>
      </c>
      <c r="C73">
        <v>2088029</v>
      </c>
    </row>
    <row r="74" spans="1:3" x14ac:dyDescent="0.3">
      <c r="A74">
        <v>73</v>
      </c>
      <c r="B74" t="s">
        <v>20</v>
      </c>
      <c r="C74">
        <v>2061656</v>
      </c>
    </row>
    <row r="75" spans="1:3" x14ac:dyDescent="0.3">
      <c r="A75">
        <v>74</v>
      </c>
      <c r="B75" t="s">
        <v>19</v>
      </c>
      <c r="C75">
        <v>1946527</v>
      </c>
    </row>
    <row r="76" spans="1:3" x14ac:dyDescent="0.3">
      <c r="A76">
        <v>75</v>
      </c>
      <c r="B76" t="s">
        <v>18</v>
      </c>
      <c r="C76">
        <v>1901010</v>
      </c>
    </row>
    <row r="77" spans="1:3" x14ac:dyDescent="0.3">
      <c r="A77">
        <v>76</v>
      </c>
      <c r="B77" t="s">
        <v>17</v>
      </c>
      <c r="C77">
        <v>1817914</v>
      </c>
    </row>
    <row r="78" spans="1:3" x14ac:dyDescent="0.3">
      <c r="A78">
        <v>77</v>
      </c>
      <c r="B78" t="s">
        <v>16</v>
      </c>
      <c r="C78">
        <v>1805208</v>
      </c>
    </row>
    <row r="79" spans="1:3" x14ac:dyDescent="0.3">
      <c r="A79">
        <v>78</v>
      </c>
      <c r="B79" t="s">
        <v>93</v>
      </c>
      <c r="C79">
        <v>1757457</v>
      </c>
    </row>
    <row r="80" spans="1:3" x14ac:dyDescent="0.3">
      <c r="A80">
        <v>79</v>
      </c>
      <c r="B80" t="s">
        <v>15</v>
      </c>
      <c r="C80">
        <v>1672833</v>
      </c>
    </row>
    <row r="81" spans="1:3" x14ac:dyDescent="0.3">
      <c r="A81">
        <v>80</v>
      </c>
      <c r="B81" t="s">
        <v>14</v>
      </c>
      <c r="C81">
        <v>1554098</v>
      </c>
    </row>
    <row r="82" spans="1:3" x14ac:dyDescent="0.3">
      <c r="A82">
        <v>81</v>
      </c>
      <c r="B82" t="s">
        <v>13</v>
      </c>
      <c r="C82">
        <v>1552907</v>
      </c>
    </row>
    <row r="83" spans="1:3" x14ac:dyDescent="0.3">
      <c r="A83">
        <v>82</v>
      </c>
      <c r="B83" t="s">
        <v>12</v>
      </c>
      <c r="C83">
        <v>1472845</v>
      </c>
    </row>
    <row r="84" spans="1:3" x14ac:dyDescent="0.3">
      <c r="A84">
        <v>83</v>
      </c>
      <c r="B84" t="s">
        <v>11</v>
      </c>
      <c r="C84">
        <v>1404180</v>
      </c>
    </row>
    <row r="85" spans="1:3" x14ac:dyDescent="0.3">
      <c r="A85">
        <v>84</v>
      </c>
      <c r="B85" t="s">
        <v>10</v>
      </c>
      <c r="C85">
        <v>1269313</v>
      </c>
    </row>
    <row r="86" spans="1:3" x14ac:dyDescent="0.3">
      <c r="A86">
        <v>85</v>
      </c>
      <c r="B86" t="s">
        <v>92</v>
      </c>
      <c r="C86">
        <v>1120614</v>
      </c>
    </row>
    <row r="87" spans="1:3" x14ac:dyDescent="0.3">
      <c r="A87">
        <v>86</v>
      </c>
      <c r="B87" t="s">
        <v>9</v>
      </c>
      <c r="C87">
        <v>998281</v>
      </c>
    </row>
    <row r="88" spans="1:3" x14ac:dyDescent="0.3">
      <c r="A88">
        <v>87</v>
      </c>
      <c r="B88" t="s">
        <v>8</v>
      </c>
      <c r="C88">
        <v>938217</v>
      </c>
    </row>
    <row r="89" spans="1:3" x14ac:dyDescent="0.3">
      <c r="A89">
        <v>88</v>
      </c>
      <c r="B89" t="s">
        <v>7</v>
      </c>
      <c r="C89">
        <v>935911</v>
      </c>
    </row>
    <row r="90" spans="1:3" x14ac:dyDescent="0.3">
      <c r="A90">
        <v>89</v>
      </c>
      <c r="B90" t="s">
        <v>6</v>
      </c>
      <c r="C90">
        <v>774862</v>
      </c>
    </row>
    <row r="91" spans="1:3" x14ac:dyDescent="0.3">
      <c r="A91">
        <v>90</v>
      </c>
      <c r="B91" t="s">
        <v>5</v>
      </c>
      <c r="C91">
        <v>620681</v>
      </c>
    </row>
    <row r="92" spans="1:3" x14ac:dyDescent="0.3">
      <c r="A92">
        <v>91</v>
      </c>
      <c r="B92" t="s">
        <v>4</v>
      </c>
      <c r="C92">
        <v>455533</v>
      </c>
    </row>
    <row r="93" spans="1:3" x14ac:dyDescent="0.3">
      <c r="A93">
        <v>92</v>
      </c>
      <c r="B93" t="s">
        <v>3</v>
      </c>
      <c r="C93">
        <v>285550</v>
      </c>
    </row>
    <row r="94" spans="1:3" x14ac:dyDescent="0.3">
      <c r="A94">
        <v>93</v>
      </c>
      <c r="B94" t="s">
        <v>2</v>
      </c>
      <c r="C94">
        <v>254963</v>
      </c>
    </row>
    <row r="95" spans="1:3" x14ac:dyDescent="0.3">
      <c r="A95">
        <v>94</v>
      </c>
      <c r="B95" t="s">
        <v>1</v>
      </c>
      <c r="C95">
        <v>205800</v>
      </c>
    </row>
    <row r="96" spans="1:3" x14ac:dyDescent="0.3">
      <c r="A96">
        <v>95</v>
      </c>
      <c r="B96" t="s">
        <v>0</v>
      </c>
      <c r="C96">
        <v>196436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45C66-D800-432D-A518-3C3085EBA399}">
  <dimension ref="A1:C96"/>
  <sheetViews>
    <sheetView topLeftCell="A2" workbookViewId="0">
      <selection activeCell="B20" sqref="B20"/>
    </sheetView>
  </sheetViews>
  <sheetFormatPr defaultRowHeight="14.4" x14ac:dyDescent="0.3"/>
  <cols>
    <col min="1" max="1" width="4.5546875" bestFit="1" customWidth="1"/>
    <col min="2" max="2" width="20.21875" bestFit="1" customWidth="1"/>
    <col min="3" max="3" width="9" bestFit="1" customWidth="1"/>
  </cols>
  <sheetData>
    <row r="1" spans="1:3" x14ac:dyDescent="0.3">
      <c r="A1" t="s">
        <v>91</v>
      </c>
      <c r="B1" t="s">
        <v>90</v>
      </c>
      <c r="C1" t="s">
        <v>98</v>
      </c>
    </row>
    <row r="2" spans="1:3" x14ac:dyDescent="0.3">
      <c r="A2">
        <v>1</v>
      </c>
      <c r="B2" t="s">
        <v>66</v>
      </c>
      <c r="C2">
        <v>22543717</v>
      </c>
    </row>
    <row r="3" spans="1:3" x14ac:dyDescent="0.3">
      <c r="A3">
        <v>2</v>
      </c>
      <c r="B3" t="s">
        <v>1</v>
      </c>
      <c r="C3">
        <v>22201430</v>
      </c>
    </row>
    <row r="4" spans="1:3" x14ac:dyDescent="0.3">
      <c r="A4">
        <v>3</v>
      </c>
      <c r="B4" t="s">
        <v>47</v>
      </c>
      <c r="C4">
        <v>21048315</v>
      </c>
    </row>
    <row r="5" spans="1:3" x14ac:dyDescent="0.3">
      <c r="A5">
        <v>4</v>
      </c>
      <c r="B5" t="s">
        <v>70</v>
      </c>
      <c r="C5">
        <v>20030103</v>
      </c>
    </row>
    <row r="6" spans="1:3" x14ac:dyDescent="0.3">
      <c r="A6">
        <v>5</v>
      </c>
      <c r="B6" t="s">
        <v>82</v>
      </c>
      <c r="C6">
        <v>20009077</v>
      </c>
    </row>
    <row r="7" spans="1:3" x14ac:dyDescent="0.3">
      <c r="A7">
        <v>6</v>
      </c>
      <c r="B7" t="s">
        <v>71</v>
      </c>
      <c r="C7">
        <v>19995322</v>
      </c>
    </row>
    <row r="8" spans="1:3" x14ac:dyDescent="0.3">
      <c r="A8">
        <v>7</v>
      </c>
      <c r="B8" t="s">
        <v>85</v>
      </c>
      <c r="C8">
        <v>19304683</v>
      </c>
    </row>
    <row r="9" spans="1:3" x14ac:dyDescent="0.3">
      <c r="A9">
        <v>8</v>
      </c>
      <c r="B9" t="s">
        <v>76</v>
      </c>
      <c r="C9">
        <v>18960154</v>
      </c>
    </row>
    <row r="10" spans="1:3" x14ac:dyDescent="0.3">
      <c r="A10">
        <v>9</v>
      </c>
      <c r="B10" t="s">
        <v>60</v>
      </c>
      <c r="C10">
        <v>18607827</v>
      </c>
    </row>
    <row r="11" spans="1:3" x14ac:dyDescent="0.3">
      <c r="A11">
        <v>10</v>
      </c>
      <c r="B11" t="s">
        <v>74</v>
      </c>
      <c r="C11">
        <v>18155735</v>
      </c>
    </row>
    <row r="12" spans="1:3" x14ac:dyDescent="0.3">
      <c r="A12">
        <v>11</v>
      </c>
      <c r="B12" t="s">
        <v>78</v>
      </c>
      <c r="C12">
        <v>17754429</v>
      </c>
    </row>
    <row r="13" spans="1:3" x14ac:dyDescent="0.3">
      <c r="A13">
        <v>12</v>
      </c>
      <c r="B13" t="s">
        <v>86</v>
      </c>
      <c r="C13">
        <v>16798323</v>
      </c>
    </row>
    <row r="14" spans="1:3" x14ac:dyDescent="0.3">
      <c r="A14">
        <v>13</v>
      </c>
      <c r="B14" t="s">
        <v>62</v>
      </c>
      <c r="C14">
        <v>16522180</v>
      </c>
    </row>
    <row r="15" spans="1:3" x14ac:dyDescent="0.3">
      <c r="A15">
        <v>14</v>
      </c>
      <c r="B15" t="s">
        <v>42</v>
      </c>
      <c r="C15">
        <v>16223844</v>
      </c>
    </row>
    <row r="16" spans="1:3" x14ac:dyDescent="0.3">
      <c r="A16">
        <v>15</v>
      </c>
      <c r="B16" t="s">
        <v>43</v>
      </c>
      <c r="C16">
        <v>15906464</v>
      </c>
    </row>
    <row r="17" spans="1:3" x14ac:dyDescent="0.3">
      <c r="A17">
        <v>16</v>
      </c>
      <c r="B17" t="s">
        <v>68</v>
      </c>
      <c r="C17">
        <v>15590506</v>
      </c>
    </row>
    <row r="18" spans="1:3" x14ac:dyDescent="0.3">
      <c r="A18">
        <v>17</v>
      </c>
      <c r="B18" t="s">
        <v>48</v>
      </c>
      <c r="C18">
        <v>15413816</v>
      </c>
    </row>
    <row r="19" spans="1:3" x14ac:dyDescent="0.3">
      <c r="A19">
        <v>18</v>
      </c>
      <c r="B19" t="s">
        <v>88</v>
      </c>
      <c r="C19">
        <v>15267872</v>
      </c>
    </row>
    <row r="20" spans="1:3" x14ac:dyDescent="0.3">
      <c r="A20">
        <v>19</v>
      </c>
      <c r="B20" t="s">
        <v>101</v>
      </c>
      <c r="C20">
        <v>15138324</v>
      </c>
    </row>
    <row r="21" spans="1:3" x14ac:dyDescent="0.3">
      <c r="A21">
        <v>20</v>
      </c>
      <c r="B21" t="s">
        <v>84</v>
      </c>
      <c r="C21">
        <v>14883117</v>
      </c>
    </row>
    <row r="22" spans="1:3" x14ac:dyDescent="0.3">
      <c r="A22">
        <v>21</v>
      </c>
      <c r="B22" t="s">
        <v>17</v>
      </c>
      <c r="C22">
        <v>14255257</v>
      </c>
    </row>
    <row r="23" spans="1:3" x14ac:dyDescent="0.3">
      <c r="A23">
        <v>22</v>
      </c>
      <c r="B23" t="s">
        <v>25</v>
      </c>
      <c r="C23">
        <v>14222534</v>
      </c>
    </row>
    <row r="24" spans="1:3" x14ac:dyDescent="0.3">
      <c r="A24">
        <v>23</v>
      </c>
      <c r="B24" t="s">
        <v>61</v>
      </c>
      <c r="C24">
        <v>14165047</v>
      </c>
    </row>
    <row r="25" spans="1:3" x14ac:dyDescent="0.3">
      <c r="A25">
        <v>24</v>
      </c>
      <c r="B25" t="s">
        <v>80</v>
      </c>
      <c r="C25">
        <v>14111194</v>
      </c>
    </row>
    <row r="26" spans="1:3" x14ac:dyDescent="0.3">
      <c r="A26">
        <v>25</v>
      </c>
      <c r="B26" t="s">
        <v>33</v>
      </c>
      <c r="C26">
        <v>13986523</v>
      </c>
    </row>
    <row r="27" spans="1:3" x14ac:dyDescent="0.3">
      <c r="A27">
        <v>26</v>
      </c>
      <c r="B27" t="s">
        <v>57</v>
      </c>
      <c r="C27">
        <v>13834039</v>
      </c>
    </row>
    <row r="28" spans="1:3" x14ac:dyDescent="0.3">
      <c r="A28">
        <v>27</v>
      </c>
      <c r="B28" t="s">
        <v>83</v>
      </c>
      <c r="C28">
        <v>13526162</v>
      </c>
    </row>
    <row r="29" spans="1:3" x14ac:dyDescent="0.3">
      <c r="A29">
        <v>28</v>
      </c>
      <c r="B29" t="s">
        <v>69</v>
      </c>
      <c r="C29">
        <v>13471090</v>
      </c>
    </row>
    <row r="30" spans="1:3" x14ac:dyDescent="0.3">
      <c r="A30">
        <v>29</v>
      </c>
      <c r="B30" t="s">
        <v>77</v>
      </c>
      <c r="C30">
        <v>13348723</v>
      </c>
    </row>
    <row r="31" spans="1:3" x14ac:dyDescent="0.3">
      <c r="A31">
        <v>30</v>
      </c>
      <c r="B31" t="s">
        <v>11</v>
      </c>
      <c r="C31">
        <v>13319643</v>
      </c>
    </row>
    <row r="32" spans="1:3" x14ac:dyDescent="0.3">
      <c r="A32">
        <v>31</v>
      </c>
      <c r="B32" t="s">
        <v>51</v>
      </c>
      <c r="C32">
        <v>13225145</v>
      </c>
    </row>
    <row r="33" spans="1:3" x14ac:dyDescent="0.3">
      <c r="A33">
        <v>32</v>
      </c>
      <c r="B33" t="s">
        <v>63</v>
      </c>
      <c r="C33">
        <v>13199144</v>
      </c>
    </row>
    <row r="34" spans="1:3" x14ac:dyDescent="0.3">
      <c r="A34">
        <v>33</v>
      </c>
      <c r="B34" t="s">
        <v>95</v>
      </c>
      <c r="C34">
        <v>12847984</v>
      </c>
    </row>
    <row r="35" spans="1:3" x14ac:dyDescent="0.3">
      <c r="A35">
        <v>34</v>
      </c>
      <c r="B35" t="s">
        <v>22</v>
      </c>
      <c r="C35">
        <v>12777474</v>
      </c>
    </row>
    <row r="36" spans="1:3" x14ac:dyDescent="0.3">
      <c r="A36">
        <v>35</v>
      </c>
      <c r="B36" t="s">
        <v>87</v>
      </c>
      <c r="C36">
        <v>12753703</v>
      </c>
    </row>
    <row r="37" spans="1:3" x14ac:dyDescent="0.3">
      <c r="A37">
        <v>36</v>
      </c>
      <c r="B37" t="s">
        <v>31</v>
      </c>
      <c r="C37">
        <v>12660260</v>
      </c>
    </row>
    <row r="38" spans="1:3" x14ac:dyDescent="0.3">
      <c r="A38">
        <v>37</v>
      </c>
      <c r="B38" t="s">
        <v>37</v>
      </c>
      <c r="C38">
        <v>12625044</v>
      </c>
    </row>
    <row r="39" spans="1:3" x14ac:dyDescent="0.3">
      <c r="A39">
        <v>38</v>
      </c>
      <c r="B39" t="s">
        <v>94</v>
      </c>
      <c r="C39">
        <v>12539577</v>
      </c>
    </row>
    <row r="40" spans="1:3" x14ac:dyDescent="0.3">
      <c r="A40">
        <v>39</v>
      </c>
      <c r="B40" t="s">
        <v>79</v>
      </c>
      <c r="C40">
        <v>12529656</v>
      </c>
    </row>
    <row r="41" spans="1:3" x14ac:dyDescent="0.3">
      <c r="A41">
        <v>40</v>
      </c>
      <c r="B41" t="s">
        <v>41</v>
      </c>
      <c r="C41">
        <v>12461232</v>
      </c>
    </row>
    <row r="42" spans="1:3" x14ac:dyDescent="0.3">
      <c r="A42">
        <v>41</v>
      </c>
      <c r="B42" t="s">
        <v>18</v>
      </c>
      <c r="C42">
        <v>12424171</v>
      </c>
    </row>
    <row r="43" spans="1:3" x14ac:dyDescent="0.3">
      <c r="A43">
        <v>42</v>
      </c>
      <c r="B43" t="s">
        <v>21</v>
      </c>
      <c r="C43">
        <v>12379420</v>
      </c>
    </row>
    <row r="44" spans="1:3" x14ac:dyDescent="0.3">
      <c r="A44">
        <v>43</v>
      </c>
      <c r="B44" t="s">
        <v>89</v>
      </c>
      <c r="C44">
        <v>12262715</v>
      </c>
    </row>
    <row r="45" spans="1:3" x14ac:dyDescent="0.3">
      <c r="A45">
        <v>44</v>
      </c>
      <c r="B45" t="s">
        <v>67</v>
      </c>
      <c r="C45">
        <v>12211506</v>
      </c>
    </row>
    <row r="46" spans="1:3" x14ac:dyDescent="0.3">
      <c r="A46">
        <v>45</v>
      </c>
      <c r="B46" t="s">
        <v>64</v>
      </c>
      <c r="C46">
        <v>12202433</v>
      </c>
    </row>
    <row r="47" spans="1:3" x14ac:dyDescent="0.3">
      <c r="A47">
        <v>46</v>
      </c>
      <c r="B47" t="s">
        <v>7</v>
      </c>
      <c r="C47">
        <v>12180355</v>
      </c>
    </row>
    <row r="48" spans="1:3" x14ac:dyDescent="0.3">
      <c r="A48">
        <v>47</v>
      </c>
      <c r="B48" t="s">
        <v>81</v>
      </c>
      <c r="C48">
        <v>12083184</v>
      </c>
    </row>
    <row r="49" spans="1:3" x14ac:dyDescent="0.3">
      <c r="A49">
        <v>48</v>
      </c>
      <c r="B49" t="s">
        <v>45</v>
      </c>
      <c r="C49">
        <v>12030539</v>
      </c>
    </row>
    <row r="50" spans="1:3" x14ac:dyDescent="0.3">
      <c r="A50">
        <v>49</v>
      </c>
      <c r="B50" t="s">
        <v>4</v>
      </c>
      <c r="C50">
        <v>11814326</v>
      </c>
    </row>
    <row r="51" spans="1:3" x14ac:dyDescent="0.3">
      <c r="A51">
        <v>50</v>
      </c>
      <c r="B51" t="s">
        <v>2</v>
      </c>
      <c r="C51">
        <v>11647735</v>
      </c>
    </row>
    <row r="52" spans="1:3" x14ac:dyDescent="0.3">
      <c r="A52">
        <v>51</v>
      </c>
      <c r="B52" t="s">
        <v>10</v>
      </c>
      <c r="C52">
        <v>11588003</v>
      </c>
    </row>
    <row r="53" spans="1:3" x14ac:dyDescent="0.3">
      <c r="A53">
        <v>52</v>
      </c>
      <c r="B53" t="s">
        <v>39</v>
      </c>
      <c r="C53">
        <v>11417454</v>
      </c>
    </row>
    <row r="54" spans="1:3" x14ac:dyDescent="0.3">
      <c r="A54">
        <v>53</v>
      </c>
      <c r="B54" t="s">
        <v>12</v>
      </c>
      <c r="C54">
        <v>11377581</v>
      </c>
    </row>
    <row r="55" spans="1:3" x14ac:dyDescent="0.3">
      <c r="A55">
        <v>54</v>
      </c>
      <c r="B55" t="s">
        <v>53</v>
      </c>
      <c r="C55">
        <v>11312667</v>
      </c>
    </row>
    <row r="56" spans="1:3" x14ac:dyDescent="0.3">
      <c r="A56">
        <v>55</v>
      </c>
      <c r="B56" t="s">
        <v>59</v>
      </c>
      <c r="C56">
        <v>11242399</v>
      </c>
    </row>
    <row r="57" spans="1:3" x14ac:dyDescent="0.3">
      <c r="A57">
        <v>56</v>
      </c>
      <c r="B57" t="s">
        <v>19</v>
      </c>
      <c r="C57">
        <v>11164215</v>
      </c>
    </row>
    <row r="58" spans="1:3" x14ac:dyDescent="0.3">
      <c r="A58">
        <v>57</v>
      </c>
      <c r="B58" t="s">
        <v>28</v>
      </c>
      <c r="C58">
        <v>11018161</v>
      </c>
    </row>
    <row r="59" spans="1:3" x14ac:dyDescent="0.3">
      <c r="A59">
        <v>58</v>
      </c>
      <c r="B59" t="s">
        <v>34</v>
      </c>
      <c r="C59">
        <v>10948170</v>
      </c>
    </row>
    <row r="60" spans="1:3" x14ac:dyDescent="0.3">
      <c r="A60">
        <v>59</v>
      </c>
      <c r="B60" t="s">
        <v>93</v>
      </c>
      <c r="C60">
        <v>10940573</v>
      </c>
    </row>
    <row r="61" spans="1:3" x14ac:dyDescent="0.3">
      <c r="A61">
        <v>60</v>
      </c>
      <c r="B61" t="s">
        <v>23</v>
      </c>
      <c r="C61">
        <v>10919112</v>
      </c>
    </row>
    <row r="62" spans="1:3" x14ac:dyDescent="0.3">
      <c r="A62">
        <v>61</v>
      </c>
      <c r="B62" t="s">
        <v>46</v>
      </c>
      <c r="C62">
        <v>10802273</v>
      </c>
    </row>
    <row r="63" spans="1:3" x14ac:dyDescent="0.3">
      <c r="A63">
        <v>62</v>
      </c>
      <c r="B63" t="s">
        <v>58</v>
      </c>
      <c r="C63">
        <v>10533113</v>
      </c>
    </row>
    <row r="64" spans="1:3" x14ac:dyDescent="0.3">
      <c r="A64">
        <v>63</v>
      </c>
      <c r="B64" t="s">
        <v>49</v>
      </c>
      <c r="C64">
        <v>10512329</v>
      </c>
    </row>
    <row r="65" spans="1:3" x14ac:dyDescent="0.3">
      <c r="A65">
        <v>64</v>
      </c>
      <c r="B65" t="s">
        <v>30</v>
      </c>
      <c r="C65">
        <v>10356991</v>
      </c>
    </row>
    <row r="66" spans="1:3" x14ac:dyDescent="0.3">
      <c r="A66">
        <v>65</v>
      </c>
      <c r="B66" t="s">
        <v>92</v>
      </c>
      <c r="C66">
        <v>10356025</v>
      </c>
    </row>
    <row r="67" spans="1:3" x14ac:dyDescent="0.3">
      <c r="A67">
        <v>66</v>
      </c>
      <c r="B67" t="s">
        <v>56</v>
      </c>
      <c r="C67">
        <v>10334151</v>
      </c>
    </row>
    <row r="68" spans="1:3" x14ac:dyDescent="0.3">
      <c r="A68">
        <v>67</v>
      </c>
      <c r="B68" t="s">
        <v>73</v>
      </c>
      <c r="C68">
        <v>10255914</v>
      </c>
    </row>
    <row r="69" spans="1:3" x14ac:dyDescent="0.3">
      <c r="A69">
        <v>68</v>
      </c>
      <c r="B69" t="s">
        <v>24</v>
      </c>
      <c r="C69">
        <v>9737463</v>
      </c>
    </row>
    <row r="70" spans="1:3" x14ac:dyDescent="0.3">
      <c r="A70">
        <v>69</v>
      </c>
      <c r="B70" t="s">
        <v>65</v>
      </c>
      <c r="C70">
        <v>9401283</v>
      </c>
    </row>
    <row r="71" spans="1:3" x14ac:dyDescent="0.3">
      <c r="A71">
        <v>70</v>
      </c>
      <c r="B71" t="s">
        <v>36</v>
      </c>
      <c r="C71">
        <v>9314496</v>
      </c>
    </row>
    <row r="72" spans="1:3" x14ac:dyDescent="0.3">
      <c r="A72">
        <v>71</v>
      </c>
      <c r="B72" t="s">
        <v>0</v>
      </c>
      <c r="C72">
        <v>9281024</v>
      </c>
    </row>
    <row r="73" spans="1:3" x14ac:dyDescent="0.3">
      <c r="A73">
        <v>72</v>
      </c>
      <c r="B73" t="s">
        <v>13</v>
      </c>
      <c r="C73">
        <v>9083791</v>
      </c>
    </row>
    <row r="74" spans="1:3" x14ac:dyDescent="0.3">
      <c r="A74">
        <v>73</v>
      </c>
      <c r="B74" t="s">
        <v>35</v>
      </c>
      <c r="C74">
        <v>9074995</v>
      </c>
    </row>
    <row r="75" spans="1:3" x14ac:dyDescent="0.3">
      <c r="A75">
        <v>74</v>
      </c>
      <c r="B75" t="s">
        <v>6</v>
      </c>
      <c r="C75">
        <v>8857105</v>
      </c>
    </row>
    <row r="76" spans="1:3" x14ac:dyDescent="0.3">
      <c r="A76">
        <v>75</v>
      </c>
      <c r="B76" t="s">
        <v>5</v>
      </c>
      <c r="C76">
        <v>8798022</v>
      </c>
    </row>
    <row r="77" spans="1:3" x14ac:dyDescent="0.3">
      <c r="A77">
        <v>76</v>
      </c>
      <c r="B77" t="s">
        <v>75</v>
      </c>
      <c r="C77">
        <v>8767566</v>
      </c>
    </row>
    <row r="78" spans="1:3" x14ac:dyDescent="0.3">
      <c r="A78">
        <v>77</v>
      </c>
      <c r="B78" t="s">
        <v>20</v>
      </c>
      <c r="C78">
        <v>8699159</v>
      </c>
    </row>
    <row r="79" spans="1:3" x14ac:dyDescent="0.3">
      <c r="A79">
        <v>78</v>
      </c>
      <c r="B79" t="s">
        <v>38</v>
      </c>
      <c r="C79">
        <v>8681257</v>
      </c>
    </row>
    <row r="80" spans="1:3" x14ac:dyDescent="0.3">
      <c r="A80">
        <v>79</v>
      </c>
      <c r="B80" t="s">
        <v>32</v>
      </c>
      <c r="C80">
        <v>8652496</v>
      </c>
    </row>
    <row r="81" spans="1:3" x14ac:dyDescent="0.3">
      <c r="A81">
        <v>80</v>
      </c>
      <c r="B81" t="s">
        <v>26</v>
      </c>
      <c r="C81">
        <v>8638981</v>
      </c>
    </row>
    <row r="82" spans="1:3" x14ac:dyDescent="0.3">
      <c r="A82">
        <v>81</v>
      </c>
      <c r="B82" t="s">
        <v>55</v>
      </c>
      <c r="C82">
        <v>8593188</v>
      </c>
    </row>
    <row r="83" spans="1:3" x14ac:dyDescent="0.3">
      <c r="A83">
        <v>82</v>
      </c>
      <c r="B83" t="s">
        <v>72</v>
      </c>
      <c r="C83">
        <v>8464203</v>
      </c>
    </row>
    <row r="84" spans="1:3" x14ac:dyDescent="0.3">
      <c r="A84">
        <v>83</v>
      </c>
      <c r="B84" t="s">
        <v>8</v>
      </c>
      <c r="C84">
        <v>8392844</v>
      </c>
    </row>
    <row r="85" spans="1:3" x14ac:dyDescent="0.3">
      <c r="A85">
        <v>84</v>
      </c>
      <c r="B85" t="s">
        <v>40</v>
      </c>
      <c r="C85">
        <v>8305300</v>
      </c>
    </row>
    <row r="86" spans="1:3" x14ac:dyDescent="0.3">
      <c r="A86">
        <v>85</v>
      </c>
      <c r="B86" t="s">
        <v>52</v>
      </c>
      <c r="C86">
        <v>8201013</v>
      </c>
    </row>
    <row r="87" spans="1:3" x14ac:dyDescent="0.3">
      <c r="A87">
        <v>86</v>
      </c>
      <c r="B87" t="s">
        <v>29</v>
      </c>
      <c r="C87">
        <v>8073053</v>
      </c>
    </row>
    <row r="88" spans="1:3" x14ac:dyDescent="0.3">
      <c r="A88">
        <v>87</v>
      </c>
      <c r="B88" t="s">
        <v>14</v>
      </c>
      <c r="C88">
        <v>7990739</v>
      </c>
    </row>
    <row r="89" spans="1:3" x14ac:dyDescent="0.3">
      <c r="A89">
        <v>88</v>
      </c>
      <c r="B89" t="s">
        <v>44</v>
      </c>
      <c r="C89">
        <v>7876160</v>
      </c>
    </row>
    <row r="90" spans="1:3" x14ac:dyDescent="0.3">
      <c r="A90">
        <v>89</v>
      </c>
      <c r="B90" t="s">
        <v>54</v>
      </c>
      <c r="C90">
        <v>7555440</v>
      </c>
    </row>
    <row r="91" spans="1:3" x14ac:dyDescent="0.3">
      <c r="A91">
        <v>90</v>
      </c>
      <c r="B91" t="s">
        <v>50</v>
      </c>
      <c r="C91">
        <v>7522797</v>
      </c>
    </row>
    <row r="92" spans="1:3" x14ac:dyDescent="0.3">
      <c r="A92">
        <v>91</v>
      </c>
      <c r="B92" t="s">
        <v>27</v>
      </c>
      <c r="C92">
        <v>6670513</v>
      </c>
    </row>
    <row r="93" spans="1:3" x14ac:dyDescent="0.3">
      <c r="A93">
        <v>92</v>
      </c>
      <c r="B93" t="s">
        <v>15</v>
      </c>
      <c r="C93">
        <v>6460817</v>
      </c>
    </row>
    <row r="94" spans="1:3" x14ac:dyDescent="0.3">
      <c r="A94">
        <v>93</v>
      </c>
      <c r="B94" t="s">
        <v>16</v>
      </c>
      <c r="C94">
        <v>6254387</v>
      </c>
    </row>
    <row r="95" spans="1:3" x14ac:dyDescent="0.3">
      <c r="A95">
        <v>94</v>
      </c>
      <c r="B95" t="s">
        <v>9</v>
      </c>
      <c r="C95">
        <v>6167119</v>
      </c>
    </row>
    <row r="96" spans="1:3" x14ac:dyDescent="0.3">
      <c r="A96">
        <v>95</v>
      </c>
      <c r="B96" t="s">
        <v>3</v>
      </c>
      <c r="C96">
        <v>6003695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A2156-7B37-4F0F-A286-78AC594703A1}">
  <dimension ref="A1:H96"/>
  <sheetViews>
    <sheetView workbookViewId="0">
      <selection activeCell="A2" sqref="A2"/>
    </sheetView>
  </sheetViews>
  <sheetFormatPr defaultRowHeight="14.4" x14ac:dyDescent="0.3"/>
  <cols>
    <col min="1" max="1" width="24.109375" customWidth="1"/>
    <col min="2" max="3" width="13.21875" style="3" customWidth="1"/>
    <col min="4" max="4" width="2.88671875" customWidth="1"/>
    <col min="5" max="6" width="13.21875" style="5" customWidth="1"/>
    <col min="7" max="7" width="2.88671875" customWidth="1"/>
    <col min="8" max="8" width="13.21875" style="3" customWidth="1"/>
  </cols>
  <sheetData>
    <row r="1" spans="1:8" s="1" customFormat="1" x14ac:dyDescent="0.3">
      <c r="A1" s="1" t="s">
        <v>96</v>
      </c>
      <c r="B1" s="2" t="s">
        <v>97</v>
      </c>
      <c r="C1" s="2" t="s">
        <v>98</v>
      </c>
      <c r="E1" s="4" t="s">
        <v>97</v>
      </c>
      <c r="F1" s="4" t="s">
        <v>98</v>
      </c>
      <c r="H1" s="2" t="s">
        <v>99</v>
      </c>
    </row>
    <row r="2" spans="1:8" x14ac:dyDescent="0.3">
      <c r="A2" t="s">
        <v>101</v>
      </c>
      <c r="B2" s="3">
        <f>VLOOKUP(A2,raw_20260609_185140!$B$2:$C$96,2,FALSE)</f>
        <v>3918479</v>
      </c>
      <c r="C2" s="3">
        <f>VLOOKUP(A2,raw_20260609_185943!$B$2:$C$96,2,FALSE)</f>
        <v>15138324</v>
      </c>
      <c r="E2" s="5">
        <f>PERCENTRANK(B$2:B$96,B2)</f>
        <v>0.44600000000000001</v>
      </c>
      <c r="F2" s="5">
        <f>PERCENTRANK(C$2:C$96,C2)</f>
        <v>0.80800000000000005</v>
      </c>
      <c r="H2" s="3">
        <f t="shared" ref="H2:H66" si="0">+E2*F2*10000</f>
        <v>3603.6800000000003</v>
      </c>
    </row>
    <row r="3" spans="1:8" x14ac:dyDescent="0.3">
      <c r="A3" t="s">
        <v>81</v>
      </c>
      <c r="B3" s="3">
        <f>VLOOKUP(A3,raw_20260609_185140!$B$2:$C$96,2,FALSE)</f>
        <v>6966055</v>
      </c>
      <c r="C3" s="3">
        <f>VLOOKUP(A3,raw_20260609_185943!$B$2:$C$96,2,FALSE)</f>
        <v>12083184</v>
      </c>
      <c r="E3" s="5">
        <f t="shared" ref="E3:E66" si="1">PERCENTRANK(B$2:B$96,B3)</f>
        <v>0.91400000000000003</v>
      </c>
      <c r="F3" s="5">
        <f t="shared" ref="F3:H66" si="2">PERCENTRANK(C$2:C$96,C3)</f>
        <v>0.51</v>
      </c>
      <c r="H3" s="3">
        <f t="shared" si="0"/>
        <v>4661.3999999999996</v>
      </c>
    </row>
    <row r="4" spans="1:8" x14ac:dyDescent="0.3">
      <c r="A4" t="s">
        <v>52</v>
      </c>
      <c r="B4" s="3">
        <f>VLOOKUP(A4,raw_20260609_185140!$B$2:$C$96,2,FALSE)</f>
        <v>4448558</v>
      </c>
      <c r="C4" s="3">
        <f>VLOOKUP(A4,raw_20260609_185943!$B$2:$C$96,2,FALSE)</f>
        <v>8201013</v>
      </c>
      <c r="E4" s="5">
        <f t="shared" si="1"/>
        <v>0.59499999999999997</v>
      </c>
      <c r="F4" s="5">
        <f t="shared" si="2"/>
        <v>0.106</v>
      </c>
      <c r="H4" s="3">
        <f t="shared" si="0"/>
        <v>630.70000000000005</v>
      </c>
    </row>
    <row r="5" spans="1:8" x14ac:dyDescent="0.3">
      <c r="A5" t="s">
        <v>4</v>
      </c>
      <c r="B5" s="3">
        <f>VLOOKUP(A5,raw_20260609_185140!$B$2:$C$96,2,FALSE)</f>
        <v>455533</v>
      </c>
      <c r="C5" s="3">
        <f>VLOOKUP(A5,raw_20260609_185943!$B$2:$C$96,2,FALSE)</f>
        <v>11814326</v>
      </c>
      <c r="E5" s="5">
        <f t="shared" si="1"/>
        <v>4.2000000000000003E-2</v>
      </c>
      <c r="F5" s="5">
        <f t="shared" si="2"/>
        <v>0.48899999999999999</v>
      </c>
      <c r="H5" s="3">
        <f t="shared" si="0"/>
        <v>205.38</v>
      </c>
    </row>
    <row r="6" spans="1:8" x14ac:dyDescent="0.3">
      <c r="A6" t="s">
        <v>11</v>
      </c>
      <c r="B6" s="3">
        <f>VLOOKUP(A6,raw_20260609_185140!$B$2:$C$96,2,FALSE)</f>
        <v>1404180</v>
      </c>
      <c r="C6" s="3">
        <f>VLOOKUP(A6,raw_20260609_185943!$B$2:$C$96,2,FALSE)</f>
        <v>13319643</v>
      </c>
      <c r="E6" s="5">
        <f t="shared" si="1"/>
        <v>0.127</v>
      </c>
      <c r="F6" s="5">
        <f t="shared" si="2"/>
        <v>0.69099999999999995</v>
      </c>
      <c r="H6" s="3">
        <f t="shared" si="0"/>
        <v>877.56999999999982</v>
      </c>
    </row>
    <row r="7" spans="1:8" x14ac:dyDescent="0.3">
      <c r="A7" t="s">
        <v>20</v>
      </c>
      <c r="B7" s="3">
        <f>VLOOKUP(A7,raw_20260609_185140!$B$2:$C$96,2,FALSE)</f>
        <v>2061656</v>
      </c>
      <c r="C7" s="3">
        <f>VLOOKUP(A7,raw_20260609_185943!$B$2:$C$96,2,FALSE)</f>
        <v>8699159</v>
      </c>
      <c r="E7" s="5">
        <f t="shared" si="1"/>
        <v>0.23400000000000001</v>
      </c>
      <c r="F7" s="5">
        <f t="shared" si="2"/>
        <v>0.191</v>
      </c>
      <c r="H7" s="3">
        <f t="shared" si="0"/>
        <v>446.94000000000005</v>
      </c>
    </row>
    <row r="8" spans="1:8" x14ac:dyDescent="0.3">
      <c r="A8" t="s">
        <v>23</v>
      </c>
      <c r="B8" s="3">
        <f>VLOOKUP(A8,raw_20260609_185140!$B$2:$C$96,2,FALSE)</f>
        <v>2264183</v>
      </c>
      <c r="C8" s="3">
        <f>VLOOKUP(A8,raw_20260609_185943!$B$2:$C$96,2,FALSE)</f>
        <v>10919112</v>
      </c>
      <c r="E8" s="5">
        <f t="shared" si="1"/>
        <v>0.26500000000000001</v>
      </c>
      <c r="F8" s="5">
        <f t="shared" si="2"/>
        <v>0.372</v>
      </c>
      <c r="H8" s="3">
        <f t="shared" si="0"/>
        <v>985.8</v>
      </c>
    </row>
    <row r="9" spans="1:8" x14ac:dyDescent="0.3">
      <c r="A9" t="s">
        <v>43</v>
      </c>
      <c r="B9" s="3">
        <f>VLOOKUP(A9,raw_20260609_185140!$B$2:$C$96,2,FALSE)</f>
        <v>4007714</v>
      </c>
      <c r="C9" s="3">
        <f>VLOOKUP(A9,raw_20260609_185943!$B$2:$C$96,2,FALSE)</f>
        <v>15906464</v>
      </c>
      <c r="E9" s="5">
        <f t="shared" si="1"/>
        <v>0.48899999999999999</v>
      </c>
      <c r="F9" s="5">
        <f t="shared" si="2"/>
        <v>0.85099999999999998</v>
      </c>
      <c r="H9" s="3">
        <f t="shared" si="0"/>
        <v>4161.3899999999994</v>
      </c>
    </row>
    <row r="10" spans="1:8" x14ac:dyDescent="0.3">
      <c r="A10" t="s">
        <v>27</v>
      </c>
      <c r="B10" s="3">
        <f>VLOOKUP(A10,raw_20260609_185140!$B$2:$C$96,2,FALSE)</f>
        <v>2754992</v>
      </c>
      <c r="C10" s="3">
        <f>VLOOKUP(A10,raw_20260609_185943!$B$2:$C$96,2,FALSE)</f>
        <v>6670513</v>
      </c>
      <c r="E10" s="5">
        <f t="shared" si="1"/>
        <v>0.308</v>
      </c>
      <c r="F10" s="5">
        <f t="shared" si="2"/>
        <v>4.2000000000000003E-2</v>
      </c>
      <c r="H10" s="3">
        <f t="shared" si="0"/>
        <v>129.36000000000001</v>
      </c>
    </row>
    <row r="11" spans="1:8" x14ac:dyDescent="0.3">
      <c r="A11" t="s">
        <v>83</v>
      </c>
      <c r="B11" s="3">
        <f>VLOOKUP(A11,raw_20260609_185140!$B$2:$C$96,2,FALSE)</f>
        <v>8931884</v>
      </c>
      <c r="C11" s="3">
        <f>VLOOKUP(A11,raw_20260609_185943!$B$2:$C$96,2,FALSE)</f>
        <v>13526162</v>
      </c>
      <c r="E11" s="5">
        <f t="shared" si="1"/>
        <v>0.93600000000000005</v>
      </c>
      <c r="F11" s="5">
        <f t="shared" si="2"/>
        <v>0.72299999999999998</v>
      </c>
      <c r="H11" s="3">
        <f t="shared" si="0"/>
        <v>6767.28</v>
      </c>
    </row>
    <row r="12" spans="1:8" x14ac:dyDescent="0.3">
      <c r="A12" t="s">
        <v>73</v>
      </c>
      <c r="B12" s="3">
        <f>VLOOKUP(A12,raw_20260609_185140!$B$2:$C$96,2,FALSE)</f>
        <v>6146150</v>
      </c>
      <c r="C12" s="3">
        <f>VLOOKUP(A12,raw_20260609_185943!$B$2:$C$96,2,FALSE)</f>
        <v>10255914</v>
      </c>
      <c r="E12" s="5">
        <f t="shared" si="1"/>
        <v>0.82899999999999996</v>
      </c>
      <c r="F12" s="5">
        <f t="shared" si="2"/>
        <v>0.29699999999999999</v>
      </c>
      <c r="H12" s="3">
        <f t="shared" si="0"/>
        <v>2462.1299999999997</v>
      </c>
    </row>
    <row r="13" spans="1:8" x14ac:dyDescent="0.3">
      <c r="A13" t="s">
        <v>58</v>
      </c>
      <c r="B13" s="3">
        <f>VLOOKUP(A13,raw_20260609_185140!$B$2:$C$96,2,FALSE)</f>
        <v>4935573</v>
      </c>
      <c r="C13" s="3">
        <f>VLOOKUP(A13,raw_20260609_185943!$B$2:$C$96,2,FALSE)</f>
        <v>10533113</v>
      </c>
      <c r="E13" s="5">
        <f t="shared" si="1"/>
        <v>0.65900000000000003</v>
      </c>
      <c r="F13" s="5">
        <f t="shared" si="2"/>
        <v>0.35099999999999998</v>
      </c>
      <c r="H13" s="3">
        <f t="shared" si="0"/>
        <v>2313.0899999999997</v>
      </c>
    </row>
    <row r="14" spans="1:8" x14ac:dyDescent="0.3">
      <c r="A14" t="s">
        <v>3</v>
      </c>
      <c r="B14" s="3">
        <f>VLOOKUP(A14,raw_20260609_185140!$B$2:$C$96,2,FALSE)</f>
        <v>285550</v>
      </c>
      <c r="C14" s="3">
        <f>VLOOKUP(A14,raw_20260609_185943!$B$2:$C$96,2,FALSE)</f>
        <v>6003695</v>
      </c>
      <c r="E14" s="5">
        <f t="shared" si="1"/>
        <v>3.1E-2</v>
      </c>
      <c r="F14" s="5">
        <f t="shared" si="2"/>
        <v>0</v>
      </c>
      <c r="H14" s="3">
        <f t="shared" si="0"/>
        <v>0</v>
      </c>
    </row>
    <row r="15" spans="1:8" x14ac:dyDescent="0.3">
      <c r="A15" t="s">
        <v>1</v>
      </c>
      <c r="B15" s="3">
        <f>VLOOKUP(A15,raw_20260609_185140!$B$2:$C$96,2,FALSE)</f>
        <v>205800</v>
      </c>
      <c r="C15" s="3">
        <f>VLOOKUP(A15,raw_20260609_185943!$B$2:$C$96,2,FALSE)</f>
        <v>22201430</v>
      </c>
      <c r="E15" s="5">
        <f t="shared" si="1"/>
        <v>0.01</v>
      </c>
      <c r="F15" s="5">
        <f t="shared" si="2"/>
        <v>0.98899999999999999</v>
      </c>
      <c r="H15" s="3">
        <f t="shared" si="0"/>
        <v>98.899999999999991</v>
      </c>
    </row>
    <row r="16" spans="1:8" x14ac:dyDescent="0.3">
      <c r="A16" t="s">
        <v>79</v>
      </c>
      <c r="B16" s="3">
        <f>VLOOKUP(A16,raw_20260609_185140!$B$2:$C$96,2,FALSE)</f>
        <v>6797175</v>
      </c>
      <c r="C16" s="3">
        <f>VLOOKUP(A16,raw_20260609_185943!$B$2:$C$96,2,FALSE)</f>
        <v>12529656</v>
      </c>
      <c r="E16" s="5">
        <f t="shared" si="1"/>
        <v>0.89300000000000002</v>
      </c>
      <c r="F16" s="5">
        <f t="shared" si="2"/>
        <v>0.59499999999999997</v>
      </c>
      <c r="H16" s="3">
        <f t="shared" si="0"/>
        <v>5313.35</v>
      </c>
    </row>
    <row r="17" spans="1:8" x14ac:dyDescent="0.3">
      <c r="A17" t="s">
        <v>57</v>
      </c>
      <c r="B17" s="3">
        <f>VLOOKUP(A17,raw_20260609_185140!$B$2:$C$96,2,FALSE)</f>
        <v>4869154</v>
      </c>
      <c r="C17" s="3">
        <f>VLOOKUP(A17,raw_20260609_185943!$B$2:$C$96,2,FALSE)</f>
        <v>13834039</v>
      </c>
      <c r="E17" s="5">
        <f t="shared" si="1"/>
        <v>0.64800000000000002</v>
      </c>
      <c r="F17" s="5">
        <f t="shared" si="2"/>
        <v>0.73399999999999999</v>
      </c>
      <c r="H17" s="3">
        <f t="shared" si="0"/>
        <v>4756.32</v>
      </c>
    </row>
    <row r="18" spans="1:8" x14ac:dyDescent="0.3">
      <c r="A18" t="s">
        <v>72</v>
      </c>
      <c r="B18" s="3">
        <f>VLOOKUP(A18,raw_20260609_185140!$B$2:$C$96,2,FALSE)</f>
        <v>6143355</v>
      </c>
      <c r="C18" s="3">
        <f>VLOOKUP(A18,raw_20260609_185943!$B$2:$C$96,2,FALSE)</f>
        <v>8464203</v>
      </c>
      <c r="E18" s="5">
        <f t="shared" si="1"/>
        <v>0.81899999999999995</v>
      </c>
      <c r="F18" s="5">
        <f t="shared" si="2"/>
        <v>0.13800000000000001</v>
      </c>
      <c r="H18" s="3">
        <f t="shared" si="0"/>
        <v>1130.22</v>
      </c>
    </row>
    <row r="19" spans="1:8" x14ac:dyDescent="0.3">
      <c r="A19" t="s">
        <v>44</v>
      </c>
      <c r="B19" s="3">
        <f>VLOOKUP(A19,raw_20260609_185140!$B$2:$C$96,2,FALSE)</f>
        <v>4017933</v>
      </c>
      <c r="C19" s="3">
        <f>VLOOKUP(A19,raw_20260609_185943!$B$2:$C$96,2,FALSE)</f>
        <v>7876160</v>
      </c>
      <c r="E19" s="5">
        <f t="shared" si="1"/>
        <v>0.5</v>
      </c>
      <c r="F19" s="5">
        <f t="shared" si="2"/>
        <v>7.3999999999999996E-2</v>
      </c>
      <c r="H19" s="3">
        <f t="shared" si="0"/>
        <v>370</v>
      </c>
    </row>
    <row r="20" spans="1:8" x14ac:dyDescent="0.3">
      <c r="A20" t="s">
        <v>69</v>
      </c>
      <c r="B20" s="3">
        <f>VLOOKUP(A20,raw_20260609_185140!$B$2:$C$96,2,FALSE)</f>
        <v>6013376</v>
      </c>
      <c r="C20" s="3">
        <f>VLOOKUP(A20,raw_20260609_185943!$B$2:$C$96,2,FALSE)</f>
        <v>13471090</v>
      </c>
      <c r="E20" s="5">
        <f t="shared" si="1"/>
        <v>0.78700000000000003</v>
      </c>
      <c r="F20" s="5">
        <f t="shared" si="2"/>
        <v>0.71199999999999997</v>
      </c>
      <c r="H20" s="3">
        <f t="shared" si="0"/>
        <v>5603.44</v>
      </c>
    </row>
    <row r="21" spans="1:8" x14ac:dyDescent="0.3">
      <c r="A21" t="s">
        <v>14</v>
      </c>
      <c r="B21" s="3">
        <f>VLOOKUP(A21,raw_20260609_185140!$B$2:$C$96,2,FALSE)</f>
        <v>1554098</v>
      </c>
      <c r="C21" s="3">
        <f>VLOOKUP(A21,raw_20260609_185943!$B$2:$C$96,2,FALSE)</f>
        <v>7990739</v>
      </c>
      <c r="E21" s="5">
        <f t="shared" si="1"/>
        <v>0.159</v>
      </c>
      <c r="F21" s="5">
        <f t="shared" si="2"/>
        <v>8.5000000000000006E-2</v>
      </c>
      <c r="H21" s="3">
        <f t="shared" si="0"/>
        <v>135.15</v>
      </c>
    </row>
    <row r="22" spans="1:8" x14ac:dyDescent="0.3">
      <c r="A22" t="s">
        <v>92</v>
      </c>
      <c r="B22" s="3">
        <f>VLOOKUP(A22,raw_20260609_185140!$B$2:$C$96,2,FALSE)</f>
        <v>1120614</v>
      </c>
      <c r="C22" s="3">
        <f>VLOOKUP(A22,raw_20260609_185943!$B$2:$C$96,2,FALSE)</f>
        <v>10356025</v>
      </c>
      <c r="E22" s="5">
        <f t="shared" si="1"/>
        <v>0.106</v>
      </c>
      <c r="F22" s="5">
        <f t="shared" si="2"/>
        <v>0.31900000000000001</v>
      </c>
      <c r="H22" s="3">
        <f t="shared" si="0"/>
        <v>338.14</v>
      </c>
    </row>
    <row r="23" spans="1:8" x14ac:dyDescent="0.3">
      <c r="A23" t="s">
        <v>88</v>
      </c>
      <c r="B23" s="3">
        <f>VLOOKUP(A23,raw_20260609_185140!$B$2:$C$96,2,FALSE)</f>
        <v>12245364</v>
      </c>
      <c r="C23" s="3">
        <f>VLOOKUP(A23,raw_20260609_185943!$B$2:$C$96,2,FALSE)</f>
        <v>15267872</v>
      </c>
      <c r="E23" s="5">
        <f t="shared" si="1"/>
        <v>0.98899999999999999</v>
      </c>
      <c r="F23" s="5">
        <f t="shared" si="2"/>
        <v>0.81899999999999995</v>
      </c>
      <c r="H23" s="3">
        <f t="shared" si="0"/>
        <v>8099.9099999999989</v>
      </c>
    </row>
    <row r="24" spans="1:8" x14ac:dyDescent="0.3">
      <c r="A24" t="s">
        <v>35</v>
      </c>
      <c r="B24" s="3">
        <f>VLOOKUP(A24,raw_20260609_185140!$B$2:$C$96,2,FALSE)</f>
        <v>3719900</v>
      </c>
      <c r="C24" s="3">
        <f>VLOOKUP(A24,raw_20260609_185943!$B$2:$C$96,2,FALSE)</f>
        <v>9074995</v>
      </c>
      <c r="E24" s="5">
        <f t="shared" si="1"/>
        <v>0.39300000000000002</v>
      </c>
      <c r="F24" s="5">
        <f t="shared" si="2"/>
        <v>0.23400000000000001</v>
      </c>
      <c r="H24" s="3">
        <f t="shared" si="0"/>
        <v>919.62000000000012</v>
      </c>
    </row>
    <row r="25" spans="1:8" x14ac:dyDescent="0.3">
      <c r="A25" t="s">
        <v>49</v>
      </c>
      <c r="B25" s="3">
        <f>VLOOKUP(A25,raw_20260609_185140!$B$2:$C$96,2,FALSE)</f>
        <v>4337158</v>
      </c>
      <c r="C25" s="3">
        <f>VLOOKUP(A25,raw_20260609_185943!$B$2:$C$96,2,FALSE)</f>
        <v>10512329</v>
      </c>
      <c r="E25" s="5">
        <f t="shared" si="1"/>
        <v>0.56299999999999994</v>
      </c>
      <c r="F25" s="5">
        <f t="shared" si="2"/>
        <v>0.34</v>
      </c>
      <c r="H25" s="3">
        <f t="shared" si="0"/>
        <v>1914.2</v>
      </c>
    </row>
    <row r="26" spans="1:8" x14ac:dyDescent="0.3">
      <c r="A26" t="s">
        <v>50</v>
      </c>
      <c r="B26" s="3">
        <f>VLOOKUP(A26,raw_20260609_185140!$B$2:$C$96,2,FALSE)</f>
        <v>4404572</v>
      </c>
      <c r="C26" s="3">
        <f>VLOOKUP(A26,raw_20260609_185943!$B$2:$C$96,2,FALSE)</f>
        <v>7522797</v>
      </c>
      <c r="E26" s="5">
        <f t="shared" si="1"/>
        <v>0.57399999999999995</v>
      </c>
      <c r="F26" s="5">
        <f t="shared" si="2"/>
        <v>5.2999999999999999E-2</v>
      </c>
      <c r="H26" s="3">
        <f t="shared" si="0"/>
        <v>304.21999999999997</v>
      </c>
    </row>
    <row r="27" spans="1:8" x14ac:dyDescent="0.3">
      <c r="A27" t="s">
        <v>71</v>
      </c>
      <c r="B27" s="3">
        <f>VLOOKUP(A27,raw_20260609_185140!$B$2:$C$96,2,FALSE)</f>
        <v>6115380</v>
      </c>
      <c r="C27" s="3">
        <f>VLOOKUP(A27,raw_20260609_185943!$B$2:$C$96,2,FALSE)</f>
        <v>19995322</v>
      </c>
      <c r="E27" s="5">
        <f t="shared" si="1"/>
        <v>0.80800000000000005</v>
      </c>
      <c r="F27" s="5">
        <f t="shared" si="2"/>
        <v>0.94599999999999995</v>
      </c>
      <c r="H27" s="3">
        <f t="shared" si="0"/>
        <v>7643.68</v>
      </c>
    </row>
    <row r="28" spans="1:8" x14ac:dyDescent="0.3">
      <c r="A28" t="s">
        <v>2</v>
      </c>
      <c r="B28" s="3">
        <f>VLOOKUP(A28,raw_20260609_185140!$B$2:$C$96,2,FALSE)</f>
        <v>254963</v>
      </c>
      <c r="C28" s="3">
        <f>VLOOKUP(A28,raw_20260609_185943!$B$2:$C$96,2,FALSE)</f>
        <v>11647735</v>
      </c>
      <c r="E28" s="5">
        <f t="shared" si="1"/>
        <v>2.1000000000000001E-2</v>
      </c>
      <c r="F28" s="5">
        <f t="shared" si="2"/>
        <v>0.47799999999999998</v>
      </c>
      <c r="H28" s="3">
        <f t="shared" si="0"/>
        <v>100.38</v>
      </c>
    </row>
    <row r="29" spans="1:8" x14ac:dyDescent="0.3">
      <c r="A29" t="s">
        <v>75</v>
      </c>
      <c r="B29" s="3">
        <f>VLOOKUP(A29,raw_20260609_185140!$B$2:$C$96,2,FALSE)</f>
        <v>6387590</v>
      </c>
      <c r="C29" s="3">
        <f>VLOOKUP(A29,raw_20260609_185943!$B$2:$C$96,2,FALSE)</f>
        <v>8767566</v>
      </c>
      <c r="E29" s="5">
        <f t="shared" si="1"/>
        <v>0.85099999999999998</v>
      </c>
      <c r="F29" s="5">
        <f t="shared" si="2"/>
        <v>0.20200000000000001</v>
      </c>
      <c r="H29" s="3">
        <f t="shared" si="0"/>
        <v>1719.02</v>
      </c>
    </row>
    <row r="30" spans="1:8" x14ac:dyDescent="0.3">
      <c r="A30" t="s">
        <v>21</v>
      </c>
      <c r="B30" s="3">
        <f>VLOOKUP(A30,raw_20260609_185140!$B$2:$C$96,2,FALSE)</f>
        <v>2088029</v>
      </c>
      <c r="C30" s="3">
        <f>VLOOKUP(A30,raw_20260609_185943!$B$2:$C$96,2,FALSE)</f>
        <v>12379420</v>
      </c>
      <c r="E30" s="5">
        <f t="shared" si="1"/>
        <v>0.24399999999999999</v>
      </c>
      <c r="F30" s="5">
        <f t="shared" si="2"/>
        <v>0.56299999999999994</v>
      </c>
      <c r="H30" s="3">
        <f t="shared" si="0"/>
        <v>1373.72</v>
      </c>
    </row>
    <row r="31" spans="1:8" x14ac:dyDescent="0.3">
      <c r="A31" t="s">
        <v>45</v>
      </c>
      <c r="B31" s="3">
        <f>VLOOKUP(A31,raw_20260609_185140!$B$2:$C$96,2,FALSE)</f>
        <v>4094452</v>
      </c>
      <c r="C31" s="3">
        <f>VLOOKUP(A31,raw_20260609_185943!$B$2:$C$96,2,FALSE)</f>
        <v>12030539</v>
      </c>
      <c r="E31" s="5">
        <f t="shared" si="1"/>
        <v>0.51</v>
      </c>
      <c r="F31" s="5">
        <f t="shared" si="2"/>
        <v>0.5</v>
      </c>
      <c r="H31" s="3">
        <f t="shared" si="0"/>
        <v>2550</v>
      </c>
    </row>
    <row r="32" spans="1:8" x14ac:dyDescent="0.3">
      <c r="A32" t="s">
        <v>63</v>
      </c>
      <c r="B32" s="3">
        <f>VLOOKUP(A32,raw_20260609_185140!$B$2:$C$96,2,FALSE)</f>
        <v>5553839</v>
      </c>
      <c r="C32" s="3">
        <f>VLOOKUP(A32,raw_20260609_185943!$B$2:$C$96,2,FALSE)</f>
        <v>13199144</v>
      </c>
      <c r="E32" s="5">
        <f t="shared" si="1"/>
        <v>0.71199999999999997</v>
      </c>
      <c r="F32" s="5">
        <f t="shared" si="2"/>
        <v>0.67</v>
      </c>
      <c r="H32" s="3">
        <f t="shared" si="0"/>
        <v>4770.4000000000005</v>
      </c>
    </row>
    <row r="33" spans="1:8" x14ac:dyDescent="0.3">
      <c r="A33" t="s">
        <v>42</v>
      </c>
      <c r="B33" s="3">
        <f>VLOOKUP(A33,raw_20260609_185140!$B$2:$C$96,2,FALSE)</f>
        <v>4003559</v>
      </c>
      <c r="C33" s="3">
        <f>VLOOKUP(A33,raw_20260609_185943!$B$2:$C$96,2,FALSE)</f>
        <v>16223844</v>
      </c>
      <c r="E33" s="5">
        <f t="shared" si="1"/>
        <v>0.47799999999999998</v>
      </c>
      <c r="F33" s="5">
        <f t="shared" si="2"/>
        <v>0.86099999999999999</v>
      </c>
      <c r="H33" s="3">
        <f t="shared" si="0"/>
        <v>4115.58</v>
      </c>
    </row>
    <row r="34" spans="1:8" x14ac:dyDescent="0.3">
      <c r="A34" t="s">
        <v>22</v>
      </c>
      <c r="B34" s="3">
        <f>VLOOKUP(A34,raw_20260609_185140!$B$2:$C$96,2,FALSE)</f>
        <v>2230810</v>
      </c>
      <c r="C34" s="3">
        <f>VLOOKUP(A34,raw_20260609_185943!$B$2:$C$96,2,FALSE)</f>
        <v>12777474</v>
      </c>
      <c r="E34" s="5">
        <f t="shared" si="1"/>
        <v>0.255</v>
      </c>
      <c r="F34" s="5">
        <f t="shared" si="2"/>
        <v>0.64800000000000002</v>
      </c>
      <c r="H34" s="3">
        <f t="shared" si="0"/>
        <v>1652.4</v>
      </c>
    </row>
    <row r="35" spans="1:8" x14ac:dyDescent="0.3">
      <c r="A35" t="s">
        <v>0</v>
      </c>
      <c r="B35" s="3">
        <f>VLOOKUP(A35,raw_20260609_185140!$B$2:$C$96,2,FALSE)</f>
        <v>196436</v>
      </c>
      <c r="C35" s="3">
        <f>VLOOKUP(A35,raw_20260609_185943!$B$2:$C$96,2,FALSE)</f>
        <v>9281024</v>
      </c>
      <c r="E35" s="5">
        <f t="shared" si="1"/>
        <v>0</v>
      </c>
      <c r="F35" s="5">
        <f t="shared" si="2"/>
        <v>0.255</v>
      </c>
      <c r="H35" s="3">
        <f t="shared" si="0"/>
        <v>0</v>
      </c>
    </row>
    <row r="36" spans="1:8" x14ac:dyDescent="0.3">
      <c r="A36" t="s">
        <v>64</v>
      </c>
      <c r="B36" s="3">
        <f>VLOOKUP(A36,raw_20260609_185140!$B$2:$C$96,2,FALSE)</f>
        <v>5638493</v>
      </c>
      <c r="C36" s="3">
        <f>VLOOKUP(A36,raw_20260609_185943!$B$2:$C$96,2,FALSE)</f>
        <v>12202433</v>
      </c>
      <c r="E36" s="5">
        <f t="shared" si="1"/>
        <v>0.73399999999999999</v>
      </c>
      <c r="F36" s="5">
        <f t="shared" si="2"/>
        <v>0.53100000000000003</v>
      </c>
      <c r="H36" s="3">
        <f t="shared" si="0"/>
        <v>3897.54</v>
      </c>
    </row>
    <row r="37" spans="1:8" x14ac:dyDescent="0.3">
      <c r="A37" t="s">
        <v>78</v>
      </c>
      <c r="B37" s="3">
        <f>VLOOKUP(A37,raw_20260609_185140!$B$2:$C$96,2,FALSE)</f>
        <v>6733809</v>
      </c>
      <c r="C37" s="3">
        <f>VLOOKUP(A37,raw_20260609_185943!$B$2:$C$96,2,FALSE)</f>
        <v>17754429</v>
      </c>
      <c r="E37" s="5">
        <f t="shared" si="1"/>
        <v>0.88200000000000001</v>
      </c>
      <c r="F37" s="5">
        <f t="shared" si="2"/>
        <v>0.89300000000000002</v>
      </c>
      <c r="H37" s="3">
        <f t="shared" si="0"/>
        <v>7876.26</v>
      </c>
    </row>
    <row r="38" spans="1:8" x14ac:dyDescent="0.3">
      <c r="A38" t="s">
        <v>87</v>
      </c>
      <c r="B38" s="3">
        <f>VLOOKUP(A38,raw_20260609_185140!$B$2:$C$96,2,FALSE)</f>
        <v>11634735</v>
      </c>
      <c r="C38" s="3">
        <f>VLOOKUP(A38,raw_20260609_185943!$B$2:$C$96,2,FALSE)</f>
        <v>12753703</v>
      </c>
      <c r="E38" s="5">
        <f t="shared" si="1"/>
        <v>0.97799999999999998</v>
      </c>
      <c r="F38" s="5">
        <f t="shared" si="2"/>
        <v>0.63800000000000001</v>
      </c>
      <c r="H38" s="3">
        <f t="shared" si="0"/>
        <v>6239.6399999999994</v>
      </c>
    </row>
    <row r="39" spans="1:8" x14ac:dyDescent="0.3">
      <c r="A39" t="s">
        <v>32</v>
      </c>
      <c r="B39" s="3">
        <f>VLOOKUP(A39,raw_20260609_185140!$B$2:$C$96,2,FALSE)</f>
        <v>3075077</v>
      </c>
      <c r="C39" s="3">
        <f>VLOOKUP(A39,raw_20260609_185943!$B$2:$C$96,2,FALSE)</f>
        <v>8652496</v>
      </c>
      <c r="E39" s="5">
        <f t="shared" si="1"/>
        <v>0.36099999999999999</v>
      </c>
      <c r="F39" s="5">
        <f t="shared" si="2"/>
        <v>0.17</v>
      </c>
      <c r="H39" s="3">
        <f t="shared" si="0"/>
        <v>613.70000000000005</v>
      </c>
    </row>
    <row r="40" spans="1:8" x14ac:dyDescent="0.3">
      <c r="A40" t="s">
        <v>82</v>
      </c>
      <c r="B40" s="3">
        <f>VLOOKUP(A40,raw_20260609_185140!$B$2:$C$96,2,FALSE)</f>
        <v>8603326</v>
      </c>
      <c r="C40" s="3">
        <f>VLOOKUP(A40,raw_20260609_185943!$B$2:$C$96,2,FALSE)</f>
        <v>20009077</v>
      </c>
      <c r="E40" s="5">
        <f t="shared" si="1"/>
        <v>0.92500000000000004</v>
      </c>
      <c r="F40" s="5">
        <f t="shared" si="2"/>
        <v>0.95699999999999996</v>
      </c>
      <c r="H40" s="3">
        <f t="shared" si="0"/>
        <v>8852.25</v>
      </c>
    </row>
    <row r="41" spans="1:8" x14ac:dyDescent="0.3">
      <c r="A41" t="s">
        <v>85</v>
      </c>
      <c r="B41" s="3">
        <f>VLOOKUP(A41,raw_20260609_185140!$B$2:$C$96,2,FALSE)</f>
        <v>9314206</v>
      </c>
      <c r="C41" s="3">
        <f>VLOOKUP(A41,raw_20260609_185943!$B$2:$C$96,2,FALSE)</f>
        <v>19304683</v>
      </c>
      <c r="E41" s="5">
        <f t="shared" si="1"/>
        <v>0.95699999999999996</v>
      </c>
      <c r="F41" s="5">
        <f t="shared" si="2"/>
        <v>0.93600000000000005</v>
      </c>
      <c r="H41" s="3">
        <f t="shared" si="0"/>
        <v>8957.52</v>
      </c>
    </row>
    <row r="42" spans="1:8" x14ac:dyDescent="0.3">
      <c r="A42" t="s">
        <v>53</v>
      </c>
      <c r="B42" s="3">
        <f>VLOOKUP(A42,raw_20260609_185140!$B$2:$C$96,2,FALSE)</f>
        <v>4523804</v>
      </c>
      <c r="C42" s="3">
        <f>VLOOKUP(A42,raw_20260609_185943!$B$2:$C$96,2,FALSE)</f>
        <v>11312667</v>
      </c>
      <c r="E42" s="5">
        <f t="shared" si="1"/>
        <v>0.60599999999999998</v>
      </c>
      <c r="F42" s="5">
        <f t="shared" si="2"/>
        <v>0.436</v>
      </c>
      <c r="H42" s="3">
        <f t="shared" si="0"/>
        <v>2642.16</v>
      </c>
    </row>
    <row r="43" spans="1:8" x14ac:dyDescent="0.3">
      <c r="A43" t="s">
        <v>18</v>
      </c>
      <c r="B43" s="3">
        <f>VLOOKUP(A43,raw_20260609_185140!$B$2:$C$96,2,FALSE)</f>
        <v>1901010</v>
      </c>
      <c r="C43" s="3">
        <f>VLOOKUP(A43,raw_20260609_185943!$B$2:$C$96,2,FALSE)</f>
        <v>12424171</v>
      </c>
      <c r="E43" s="5">
        <f t="shared" si="1"/>
        <v>0.21199999999999999</v>
      </c>
      <c r="F43" s="5">
        <f t="shared" si="2"/>
        <v>0.57399999999999995</v>
      </c>
      <c r="H43" s="3">
        <f t="shared" si="0"/>
        <v>1216.8799999999999</v>
      </c>
    </row>
    <row r="44" spans="1:8" x14ac:dyDescent="0.3">
      <c r="A44" t="s">
        <v>31</v>
      </c>
      <c r="B44" s="3">
        <f>VLOOKUP(A44,raw_20260609_185140!$B$2:$C$96,2,FALSE)</f>
        <v>2890318</v>
      </c>
      <c r="C44" s="3">
        <f>VLOOKUP(A44,raw_20260609_185943!$B$2:$C$96,2,FALSE)</f>
        <v>12660260</v>
      </c>
      <c r="E44" s="5">
        <f t="shared" si="1"/>
        <v>0.35099999999999998</v>
      </c>
      <c r="F44" s="5">
        <f t="shared" si="2"/>
        <v>0.627</v>
      </c>
      <c r="H44" s="3">
        <f t="shared" si="0"/>
        <v>2200.77</v>
      </c>
    </row>
    <row r="45" spans="1:8" x14ac:dyDescent="0.3">
      <c r="A45" t="s">
        <v>10</v>
      </c>
      <c r="B45" s="3">
        <f>VLOOKUP(A45,raw_20260609_185140!$B$2:$C$96,2,FALSE)</f>
        <v>1269313</v>
      </c>
      <c r="C45" s="3">
        <f>VLOOKUP(A45,raw_20260609_185943!$B$2:$C$96,2,FALSE)</f>
        <v>11588003</v>
      </c>
      <c r="E45" s="5">
        <f t="shared" si="1"/>
        <v>0.11700000000000001</v>
      </c>
      <c r="F45" s="5">
        <f t="shared" si="2"/>
        <v>0.46800000000000003</v>
      </c>
      <c r="H45" s="3">
        <f t="shared" si="0"/>
        <v>547.56000000000006</v>
      </c>
    </row>
    <row r="46" spans="1:8" x14ac:dyDescent="0.3">
      <c r="A46" t="s">
        <v>59</v>
      </c>
      <c r="B46" s="3">
        <f>VLOOKUP(A46,raw_20260609_185140!$B$2:$C$96,2,FALSE)</f>
        <v>4995656</v>
      </c>
      <c r="C46" s="3">
        <f>VLOOKUP(A46,raw_20260609_185943!$B$2:$C$96,2,FALSE)</f>
        <v>11242399</v>
      </c>
      <c r="E46" s="5">
        <f t="shared" si="1"/>
        <v>0.67</v>
      </c>
      <c r="F46" s="5">
        <f t="shared" si="2"/>
        <v>0.42499999999999999</v>
      </c>
      <c r="H46" s="3">
        <f t="shared" si="0"/>
        <v>2847.5</v>
      </c>
    </row>
    <row r="47" spans="1:8" x14ac:dyDescent="0.3">
      <c r="A47" t="s">
        <v>16</v>
      </c>
      <c r="B47" s="3">
        <f>VLOOKUP(A47,raw_20260609_185140!$B$2:$C$96,2,FALSE)</f>
        <v>1805208</v>
      </c>
      <c r="C47" s="3">
        <f>VLOOKUP(A47,raw_20260609_185943!$B$2:$C$96,2,FALSE)</f>
        <v>6254387</v>
      </c>
      <c r="E47" s="5">
        <f t="shared" si="1"/>
        <v>0.191</v>
      </c>
      <c r="F47" s="5">
        <f t="shared" si="2"/>
        <v>2.1000000000000001E-2</v>
      </c>
      <c r="H47" s="3">
        <f t="shared" si="0"/>
        <v>40.110000000000007</v>
      </c>
    </row>
    <row r="48" spans="1:8" x14ac:dyDescent="0.3">
      <c r="A48" t="s">
        <v>34</v>
      </c>
      <c r="B48" s="3">
        <f>VLOOKUP(A48,raw_20260609_185140!$B$2:$C$96,2,FALSE)</f>
        <v>3296653</v>
      </c>
      <c r="C48" s="3">
        <f>VLOOKUP(A48,raw_20260609_185943!$B$2:$C$96,2,FALSE)</f>
        <v>10948170</v>
      </c>
      <c r="E48" s="5">
        <f t="shared" si="1"/>
        <v>0.38200000000000001</v>
      </c>
      <c r="F48" s="5">
        <f t="shared" si="2"/>
        <v>0.39300000000000002</v>
      </c>
      <c r="H48" s="3">
        <f t="shared" si="0"/>
        <v>1501.26</v>
      </c>
    </row>
    <row r="49" spans="1:8" x14ac:dyDescent="0.3">
      <c r="A49" t="s">
        <v>9</v>
      </c>
      <c r="B49" s="3">
        <f>VLOOKUP(A49,raw_20260609_185140!$B$2:$C$96,2,FALSE)</f>
        <v>998281</v>
      </c>
      <c r="C49" s="3">
        <f>VLOOKUP(A49,raw_20260609_185943!$B$2:$C$96,2,FALSE)</f>
        <v>6167119</v>
      </c>
      <c r="E49" s="5">
        <f t="shared" si="1"/>
        <v>9.5000000000000001E-2</v>
      </c>
      <c r="F49" s="5">
        <f t="shared" si="2"/>
        <v>0.01</v>
      </c>
      <c r="H49" s="3">
        <f t="shared" si="0"/>
        <v>9.5</v>
      </c>
    </row>
    <row r="50" spans="1:8" x14ac:dyDescent="0.3">
      <c r="A50" t="s">
        <v>17</v>
      </c>
      <c r="B50" s="3">
        <f>VLOOKUP(A50,raw_20260609_185140!$B$2:$C$96,2,FALSE)</f>
        <v>1817914</v>
      </c>
      <c r="C50" s="3">
        <f>VLOOKUP(A50,raw_20260609_185943!$B$2:$C$96,2,FALSE)</f>
        <v>14255257</v>
      </c>
      <c r="E50" s="5">
        <f t="shared" si="1"/>
        <v>0.20200000000000001</v>
      </c>
      <c r="F50" s="5">
        <f t="shared" si="2"/>
        <v>0.78700000000000003</v>
      </c>
      <c r="H50" s="3">
        <f t="shared" si="0"/>
        <v>1589.74</v>
      </c>
    </row>
    <row r="51" spans="1:8" x14ac:dyDescent="0.3">
      <c r="A51" t="s">
        <v>89</v>
      </c>
      <c r="B51" s="3">
        <f>VLOOKUP(A51,raw_20260609_185140!$B$2:$C$96,2,FALSE)</f>
        <v>12415346</v>
      </c>
      <c r="C51" s="3">
        <f>VLOOKUP(A51,raw_20260609_185943!$B$2:$C$96,2,FALSE)</f>
        <v>12262715</v>
      </c>
      <c r="E51" s="5">
        <f t="shared" si="1"/>
        <v>1</v>
      </c>
      <c r="F51" s="5">
        <f t="shared" si="2"/>
        <v>0.55300000000000005</v>
      </c>
      <c r="H51" s="3">
        <f t="shared" si="0"/>
        <v>5530.0000000000009</v>
      </c>
    </row>
    <row r="52" spans="1:8" x14ac:dyDescent="0.3">
      <c r="A52" t="s">
        <v>19</v>
      </c>
      <c r="B52" s="3">
        <f>VLOOKUP(A52,raw_20260609_185140!$B$2:$C$96,2,FALSE)</f>
        <v>1946527</v>
      </c>
      <c r="C52" s="3">
        <f>VLOOKUP(A52,raw_20260609_185943!$B$2:$C$96,2,FALSE)</f>
        <v>11164215</v>
      </c>
      <c r="E52" s="5">
        <f t="shared" si="1"/>
        <v>0.223</v>
      </c>
      <c r="F52" s="5">
        <f t="shared" si="2"/>
        <v>0.41399999999999998</v>
      </c>
      <c r="H52" s="3">
        <f t="shared" si="0"/>
        <v>923.22</v>
      </c>
    </row>
    <row r="53" spans="1:8" x14ac:dyDescent="0.3">
      <c r="A53" t="s">
        <v>86</v>
      </c>
      <c r="B53" s="3">
        <f>VLOOKUP(A53,raw_20260609_185140!$B$2:$C$96,2,FALSE)</f>
        <v>10569143</v>
      </c>
      <c r="C53" s="3">
        <f>VLOOKUP(A53,raw_20260609_185943!$B$2:$C$96,2,FALSE)</f>
        <v>16798323</v>
      </c>
      <c r="E53" s="5">
        <f t="shared" si="1"/>
        <v>0.96799999999999997</v>
      </c>
      <c r="F53" s="5">
        <f t="shared" si="2"/>
        <v>0.88200000000000001</v>
      </c>
      <c r="H53" s="3">
        <f t="shared" si="0"/>
        <v>8537.76</v>
      </c>
    </row>
    <row r="54" spans="1:8" x14ac:dyDescent="0.3">
      <c r="A54" t="s">
        <v>33</v>
      </c>
      <c r="B54" s="3">
        <f>VLOOKUP(A54,raw_20260609_185140!$B$2:$C$96,2,FALSE)</f>
        <v>3262380</v>
      </c>
      <c r="C54" s="3">
        <f>VLOOKUP(A54,raw_20260609_185943!$B$2:$C$96,2,FALSE)</f>
        <v>13986523</v>
      </c>
      <c r="E54" s="5">
        <f t="shared" si="1"/>
        <v>0.372</v>
      </c>
      <c r="F54" s="5">
        <f t="shared" si="2"/>
        <v>0.74399999999999999</v>
      </c>
      <c r="H54" s="3">
        <f t="shared" si="0"/>
        <v>2767.6800000000003</v>
      </c>
    </row>
    <row r="55" spans="1:8" x14ac:dyDescent="0.3">
      <c r="A55" t="s">
        <v>67</v>
      </c>
      <c r="B55" s="3">
        <f>VLOOKUP(A55,raw_20260609_185140!$B$2:$C$96,2,FALSE)</f>
        <v>5969930</v>
      </c>
      <c r="C55" s="3">
        <f>VLOOKUP(A55,raw_20260609_185943!$B$2:$C$96,2,FALSE)</f>
        <v>12211506</v>
      </c>
      <c r="E55" s="5">
        <f t="shared" si="1"/>
        <v>0.76500000000000001</v>
      </c>
      <c r="F55" s="5">
        <f t="shared" si="2"/>
        <v>0.54200000000000004</v>
      </c>
      <c r="H55" s="3">
        <f t="shared" si="0"/>
        <v>4146.3</v>
      </c>
    </row>
    <row r="56" spans="1:8" x14ac:dyDescent="0.3">
      <c r="A56" t="s">
        <v>74</v>
      </c>
      <c r="B56" s="3">
        <f>VLOOKUP(A56,raw_20260609_185140!$B$2:$C$96,2,FALSE)</f>
        <v>6330561</v>
      </c>
      <c r="C56" s="3">
        <f>VLOOKUP(A56,raw_20260609_185943!$B$2:$C$96,2,FALSE)</f>
        <v>18155735</v>
      </c>
      <c r="E56" s="5">
        <f t="shared" si="1"/>
        <v>0.84</v>
      </c>
      <c r="F56" s="5">
        <f t="shared" si="2"/>
        <v>0.90400000000000003</v>
      </c>
      <c r="H56" s="3">
        <f t="shared" si="0"/>
        <v>7593.6</v>
      </c>
    </row>
    <row r="57" spans="1:8" x14ac:dyDescent="0.3">
      <c r="A57" t="s">
        <v>94</v>
      </c>
      <c r="B57" s="3">
        <f>VLOOKUP(A57,raw_20260609_185140!$B$2:$C$96,2,FALSE)</f>
        <v>5636919</v>
      </c>
      <c r="C57" s="3">
        <f>VLOOKUP(A57,raw_20260609_185943!$B$2:$C$96,2,FALSE)</f>
        <v>12539577</v>
      </c>
      <c r="E57" s="5">
        <f t="shared" si="1"/>
        <v>0.72299999999999998</v>
      </c>
      <c r="F57" s="5">
        <f t="shared" si="2"/>
        <v>0.60599999999999998</v>
      </c>
      <c r="H57" s="3">
        <f t="shared" si="0"/>
        <v>4381.38</v>
      </c>
    </row>
    <row r="58" spans="1:8" x14ac:dyDescent="0.3">
      <c r="A58" t="s">
        <v>40</v>
      </c>
      <c r="B58" s="3">
        <f>VLOOKUP(A58,raw_20260609_185140!$B$2:$C$96,2,FALSE)</f>
        <v>3919064</v>
      </c>
      <c r="C58" s="3">
        <f>VLOOKUP(A58,raw_20260609_185943!$B$2:$C$96,2,FALSE)</f>
        <v>8305300</v>
      </c>
      <c r="E58" s="5">
        <f t="shared" si="1"/>
        <v>0.45700000000000002</v>
      </c>
      <c r="F58" s="5">
        <f t="shared" si="2"/>
        <v>0.11700000000000001</v>
      </c>
      <c r="H58" s="3">
        <f t="shared" si="0"/>
        <v>534.69000000000005</v>
      </c>
    </row>
    <row r="59" spans="1:8" x14ac:dyDescent="0.3">
      <c r="A59" t="s">
        <v>51</v>
      </c>
      <c r="B59" s="3">
        <f>VLOOKUP(A59,raw_20260609_185140!$B$2:$C$96,2,FALSE)</f>
        <v>4411775</v>
      </c>
      <c r="C59" s="3">
        <f>VLOOKUP(A59,raw_20260609_185943!$B$2:$C$96,2,FALSE)</f>
        <v>13225145</v>
      </c>
      <c r="E59" s="5">
        <f t="shared" si="1"/>
        <v>0.58499999999999996</v>
      </c>
      <c r="F59" s="5">
        <f t="shared" si="2"/>
        <v>0.68</v>
      </c>
      <c r="H59" s="3">
        <f t="shared" si="0"/>
        <v>3978</v>
      </c>
    </row>
    <row r="60" spans="1:8" x14ac:dyDescent="0.3">
      <c r="A60" t="s">
        <v>77</v>
      </c>
      <c r="B60" s="3">
        <f>VLOOKUP(A60,raw_20260609_185140!$B$2:$C$96,2,FALSE)</f>
        <v>6645174</v>
      </c>
      <c r="C60" s="3">
        <f>VLOOKUP(A60,raw_20260609_185943!$B$2:$C$96,2,FALSE)</f>
        <v>13348723</v>
      </c>
      <c r="E60" s="5">
        <f t="shared" si="1"/>
        <v>0.872</v>
      </c>
      <c r="F60" s="5">
        <f t="shared" si="2"/>
        <v>0.70199999999999996</v>
      </c>
      <c r="H60" s="3">
        <f t="shared" si="0"/>
        <v>6121.4399999999987</v>
      </c>
    </row>
    <row r="61" spans="1:8" x14ac:dyDescent="0.3">
      <c r="A61" t="s">
        <v>36</v>
      </c>
      <c r="B61" s="3">
        <f>VLOOKUP(A61,raw_20260609_185140!$B$2:$C$96,2,FALSE)</f>
        <v>3747996</v>
      </c>
      <c r="C61" s="3">
        <f>VLOOKUP(A61,raw_20260609_185943!$B$2:$C$96,2,FALSE)</f>
        <v>9314496</v>
      </c>
      <c r="E61" s="5">
        <f t="shared" si="1"/>
        <v>0.40400000000000003</v>
      </c>
      <c r="F61" s="5">
        <f t="shared" si="2"/>
        <v>0.26500000000000001</v>
      </c>
      <c r="H61" s="3">
        <f t="shared" si="0"/>
        <v>1070.6000000000001</v>
      </c>
    </row>
    <row r="62" spans="1:8" x14ac:dyDescent="0.3">
      <c r="A62" t="s">
        <v>29</v>
      </c>
      <c r="B62" s="3">
        <f>VLOOKUP(A62,raw_20260609_185140!$B$2:$C$96,2,FALSE)</f>
        <v>2775200</v>
      </c>
      <c r="C62" s="3">
        <f>VLOOKUP(A62,raw_20260609_185943!$B$2:$C$96,2,FALSE)</f>
        <v>8073053</v>
      </c>
      <c r="E62" s="5">
        <f t="shared" si="1"/>
        <v>0.32900000000000001</v>
      </c>
      <c r="F62" s="5">
        <f t="shared" si="2"/>
        <v>9.5000000000000001E-2</v>
      </c>
      <c r="H62" s="3">
        <f t="shared" si="0"/>
        <v>312.55000000000007</v>
      </c>
    </row>
    <row r="63" spans="1:8" x14ac:dyDescent="0.3">
      <c r="A63" t="s">
        <v>56</v>
      </c>
      <c r="B63" s="3">
        <f>VLOOKUP(A63,raw_20260609_185140!$B$2:$C$96,2,FALSE)</f>
        <v>4837386</v>
      </c>
      <c r="C63" s="3">
        <f>VLOOKUP(A63,raw_20260609_185943!$B$2:$C$96,2,FALSE)</f>
        <v>10334151</v>
      </c>
      <c r="E63" s="5">
        <f t="shared" si="1"/>
        <v>0.63800000000000001</v>
      </c>
      <c r="F63" s="5">
        <f t="shared" si="2"/>
        <v>0.308</v>
      </c>
      <c r="H63" s="3">
        <f t="shared" si="0"/>
        <v>1965.0400000000002</v>
      </c>
    </row>
    <row r="64" spans="1:8" x14ac:dyDescent="0.3">
      <c r="A64" t="s">
        <v>25</v>
      </c>
      <c r="B64" s="3">
        <f>VLOOKUP(A64,raw_20260609_185140!$B$2:$C$96,2,FALSE)</f>
        <v>2735954</v>
      </c>
      <c r="C64" s="3">
        <f>VLOOKUP(A64,raw_20260609_185943!$B$2:$C$96,2,FALSE)</f>
        <v>14222534</v>
      </c>
      <c r="E64" s="5">
        <f t="shared" si="1"/>
        <v>0.28699999999999998</v>
      </c>
      <c r="F64" s="5">
        <f t="shared" si="2"/>
        <v>0.77600000000000002</v>
      </c>
      <c r="H64" s="3">
        <f t="shared" si="0"/>
        <v>2227.12</v>
      </c>
    </row>
    <row r="65" spans="1:8" x14ac:dyDescent="0.3">
      <c r="A65" t="s">
        <v>76</v>
      </c>
      <c r="B65" s="3">
        <f>VLOOKUP(A65,raw_20260609_185140!$B$2:$C$96,2,FALSE)</f>
        <v>6451253</v>
      </c>
      <c r="C65" s="3">
        <f>VLOOKUP(A65,raw_20260609_185943!$B$2:$C$96,2,FALSE)</f>
        <v>18960154</v>
      </c>
      <c r="E65" s="5">
        <f t="shared" si="1"/>
        <v>0.86099999999999999</v>
      </c>
      <c r="F65" s="5">
        <f t="shared" si="2"/>
        <v>0.92500000000000004</v>
      </c>
      <c r="H65" s="3">
        <f t="shared" si="0"/>
        <v>7964.2500000000009</v>
      </c>
    </row>
    <row r="66" spans="1:8" x14ac:dyDescent="0.3">
      <c r="A66" t="s">
        <v>66</v>
      </c>
      <c r="B66" s="3">
        <f>VLOOKUP(A66,raw_20260609_185140!$B$2:$C$96,2,FALSE)</f>
        <v>5904086</v>
      </c>
      <c r="C66" s="3">
        <f>VLOOKUP(A66,raw_20260609_185943!$B$2:$C$96,2,FALSE)</f>
        <v>22543717</v>
      </c>
      <c r="E66" s="5">
        <f t="shared" si="1"/>
        <v>0.755</v>
      </c>
      <c r="F66" s="5">
        <f t="shared" si="2"/>
        <v>1</v>
      </c>
      <c r="H66" s="3">
        <f t="shared" si="0"/>
        <v>7550</v>
      </c>
    </row>
    <row r="67" spans="1:8" x14ac:dyDescent="0.3">
      <c r="A67" t="s">
        <v>84</v>
      </c>
      <c r="B67" s="3">
        <f>VLOOKUP(A67,raw_20260609_185140!$B$2:$C$96,2,FALSE)</f>
        <v>9247571</v>
      </c>
      <c r="C67" s="3">
        <f>VLOOKUP(A67,raw_20260609_185943!$B$2:$C$96,2,FALSE)</f>
        <v>14883117</v>
      </c>
      <c r="E67" s="5">
        <f t="shared" ref="E67:E96" si="3">PERCENTRANK(B$2:B$96,B67)</f>
        <v>0.94599999999999995</v>
      </c>
      <c r="F67" s="5">
        <f t="shared" ref="F67:H96" si="4">PERCENTRANK(C$2:C$96,C67)</f>
        <v>0.79700000000000004</v>
      </c>
      <c r="H67" s="3">
        <f t="shared" ref="H67:H96" si="5">+E67*F67*10000</f>
        <v>7539.62</v>
      </c>
    </row>
    <row r="68" spans="1:8" x14ac:dyDescent="0.3">
      <c r="A68" t="s">
        <v>62</v>
      </c>
      <c r="B68" s="3">
        <f>VLOOKUP(A68,raw_20260609_185140!$B$2:$C$96,2,FALSE)</f>
        <v>5225717</v>
      </c>
      <c r="C68" s="3">
        <f>VLOOKUP(A68,raw_20260609_185943!$B$2:$C$96,2,FALSE)</f>
        <v>16522180</v>
      </c>
      <c r="E68" s="5">
        <f t="shared" si="3"/>
        <v>0.70199999999999996</v>
      </c>
      <c r="F68" s="5">
        <f t="shared" si="4"/>
        <v>0.872</v>
      </c>
      <c r="H68" s="3">
        <f t="shared" si="5"/>
        <v>6121.4399999999987</v>
      </c>
    </row>
    <row r="69" spans="1:8" x14ac:dyDescent="0.3">
      <c r="A69" t="s">
        <v>80</v>
      </c>
      <c r="B69" s="3">
        <f>VLOOKUP(A69,raw_20260609_185140!$B$2:$C$96,2,FALSE)</f>
        <v>6863684</v>
      </c>
      <c r="C69" s="3">
        <f>VLOOKUP(A69,raw_20260609_185943!$B$2:$C$96,2,FALSE)</f>
        <v>14111194</v>
      </c>
      <c r="E69" s="5">
        <f t="shared" si="3"/>
        <v>0.90400000000000003</v>
      </c>
      <c r="F69" s="5">
        <f t="shared" si="4"/>
        <v>0.755</v>
      </c>
      <c r="H69" s="3">
        <f t="shared" si="5"/>
        <v>6825.2</v>
      </c>
    </row>
    <row r="70" spans="1:8" x14ac:dyDescent="0.3">
      <c r="A70" t="s">
        <v>39</v>
      </c>
      <c r="B70" s="3">
        <f>VLOOKUP(A70,raw_20260609_185140!$B$2:$C$96,2,FALSE)</f>
        <v>3863563</v>
      </c>
      <c r="C70" s="3">
        <f>VLOOKUP(A70,raw_20260609_185943!$B$2:$C$96,2,FALSE)</f>
        <v>11417454</v>
      </c>
      <c r="E70" s="5">
        <f t="shared" si="3"/>
        <v>0.436</v>
      </c>
      <c r="F70" s="5">
        <f t="shared" si="4"/>
        <v>0.45700000000000002</v>
      </c>
      <c r="H70" s="3">
        <f t="shared" si="5"/>
        <v>1992.5200000000002</v>
      </c>
    </row>
    <row r="71" spans="1:8" x14ac:dyDescent="0.3">
      <c r="A71" t="s">
        <v>13</v>
      </c>
      <c r="B71" s="3">
        <f>VLOOKUP(A71,raw_20260609_185140!$B$2:$C$96,2,FALSE)</f>
        <v>1552907</v>
      </c>
      <c r="C71" s="3">
        <f>VLOOKUP(A71,raw_20260609_185943!$B$2:$C$96,2,FALSE)</f>
        <v>9083791</v>
      </c>
      <c r="E71" s="5">
        <f t="shared" si="3"/>
        <v>0.14799999999999999</v>
      </c>
      <c r="F71" s="5">
        <f t="shared" si="4"/>
        <v>0.24399999999999999</v>
      </c>
      <c r="H71" s="3">
        <f t="shared" si="5"/>
        <v>361.12</v>
      </c>
    </row>
    <row r="72" spans="1:8" x14ac:dyDescent="0.3">
      <c r="A72" t="s">
        <v>95</v>
      </c>
      <c r="B72" s="3">
        <f>VLOOKUP(A72,raw_20260609_185140!$B$2:$C$96,2,FALSE)</f>
        <v>4189911</v>
      </c>
      <c r="C72" s="3">
        <f>VLOOKUP(A72,raw_20260609_185943!$B$2:$C$96,2,FALSE)</f>
        <v>12847984</v>
      </c>
      <c r="E72" s="5">
        <f t="shared" si="3"/>
        <v>0.53100000000000003</v>
      </c>
      <c r="F72" s="5">
        <f t="shared" si="4"/>
        <v>0.65900000000000003</v>
      </c>
      <c r="H72" s="3">
        <f t="shared" si="5"/>
        <v>3499.2900000000004</v>
      </c>
    </row>
    <row r="73" spans="1:8" x14ac:dyDescent="0.3">
      <c r="A73" t="s">
        <v>5</v>
      </c>
      <c r="B73" s="3">
        <f>VLOOKUP(A73,raw_20260609_185140!$B$2:$C$96,2,FALSE)</f>
        <v>620681</v>
      </c>
      <c r="C73" s="3">
        <f>VLOOKUP(A73,raw_20260609_185943!$B$2:$C$96,2,FALSE)</f>
        <v>8798022</v>
      </c>
      <c r="E73" s="5">
        <f t="shared" si="3"/>
        <v>5.2999999999999999E-2</v>
      </c>
      <c r="F73" s="5">
        <f t="shared" si="4"/>
        <v>0.21199999999999999</v>
      </c>
      <c r="H73" s="3">
        <f t="shared" si="5"/>
        <v>112.36</v>
      </c>
    </row>
    <row r="74" spans="1:8" x14ac:dyDescent="0.3">
      <c r="A74" t="s">
        <v>6</v>
      </c>
      <c r="B74" s="3">
        <f>VLOOKUP(A74,raw_20260609_185140!$B$2:$C$96,2,FALSE)</f>
        <v>774862</v>
      </c>
      <c r="C74" s="3">
        <f>VLOOKUP(A74,raw_20260609_185943!$B$2:$C$96,2,FALSE)</f>
        <v>8857105</v>
      </c>
      <c r="E74" s="5">
        <f t="shared" si="3"/>
        <v>6.3E-2</v>
      </c>
      <c r="F74" s="5">
        <f t="shared" si="4"/>
        <v>0.223</v>
      </c>
      <c r="H74" s="3">
        <f t="shared" si="5"/>
        <v>140.49</v>
      </c>
    </row>
    <row r="75" spans="1:8" x14ac:dyDescent="0.3">
      <c r="A75" t="s">
        <v>65</v>
      </c>
      <c r="B75" s="3">
        <f>VLOOKUP(A75,raw_20260609_185140!$B$2:$C$96,2,FALSE)</f>
        <v>5730280</v>
      </c>
      <c r="C75" s="3">
        <f>VLOOKUP(A75,raw_20260609_185943!$B$2:$C$96,2,FALSE)</f>
        <v>9401283</v>
      </c>
      <c r="E75" s="5">
        <f t="shared" si="3"/>
        <v>0.74399999999999999</v>
      </c>
      <c r="F75" s="5">
        <f t="shared" si="4"/>
        <v>0.27600000000000002</v>
      </c>
      <c r="H75" s="3">
        <f t="shared" si="5"/>
        <v>2053.44</v>
      </c>
    </row>
    <row r="76" spans="1:8" x14ac:dyDescent="0.3">
      <c r="A76" t="s">
        <v>61</v>
      </c>
      <c r="B76" s="3">
        <f>VLOOKUP(A76,raw_20260609_185140!$B$2:$C$96,2,FALSE)</f>
        <v>5225346</v>
      </c>
      <c r="C76" s="3">
        <f>VLOOKUP(A76,raw_20260609_185943!$B$2:$C$96,2,FALSE)</f>
        <v>14165047</v>
      </c>
      <c r="E76" s="5">
        <f t="shared" si="3"/>
        <v>0.69099999999999995</v>
      </c>
      <c r="F76" s="5">
        <f t="shared" si="4"/>
        <v>0.76500000000000001</v>
      </c>
      <c r="H76" s="3">
        <f t="shared" si="5"/>
        <v>5286.15</v>
      </c>
    </row>
    <row r="77" spans="1:8" x14ac:dyDescent="0.3">
      <c r="A77" t="s">
        <v>26</v>
      </c>
      <c r="B77" s="3">
        <f>VLOOKUP(A77,raw_20260609_185140!$B$2:$C$96,2,FALSE)</f>
        <v>2736811</v>
      </c>
      <c r="C77" s="3">
        <f>VLOOKUP(A77,raw_20260609_185943!$B$2:$C$96,2,FALSE)</f>
        <v>8638981</v>
      </c>
      <c r="E77" s="5">
        <f t="shared" si="3"/>
        <v>0.29699999999999999</v>
      </c>
      <c r="F77" s="5">
        <f t="shared" si="4"/>
        <v>0.159</v>
      </c>
      <c r="H77" s="3">
        <f t="shared" si="5"/>
        <v>472.23</v>
      </c>
    </row>
    <row r="78" spans="1:8" x14ac:dyDescent="0.3">
      <c r="A78" t="s">
        <v>7</v>
      </c>
      <c r="B78" s="3">
        <f>VLOOKUP(A78,raw_20260609_185140!$B$2:$C$96,2,FALSE)</f>
        <v>935911</v>
      </c>
      <c r="C78" s="3">
        <f>VLOOKUP(A78,raw_20260609_185943!$B$2:$C$96,2,FALSE)</f>
        <v>12180355</v>
      </c>
      <c r="E78" s="5">
        <f t="shared" si="3"/>
        <v>7.3999999999999996E-2</v>
      </c>
      <c r="F78" s="5">
        <f t="shared" si="4"/>
        <v>0.52100000000000002</v>
      </c>
      <c r="H78" s="3">
        <f t="shared" si="5"/>
        <v>385.53999999999996</v>
      </c>
    </row>
    <row r="79" spans="1:8" x14ac:dyDescent="0.3">
      <c r="A79" t="s">
        <v>37</v>
      </c>
      <c r="B79" s="3">
        <f>VLOOKUP(A79,raw_20260609_185140!$B$2:$C$96,2,FALSE)</f>
        <v>3799003</v>
      </c>
      <c r="C79" s="3">
        <f>VLOOKUP(A79,raw_20260609_185943!$B$2:$C$96,2,FALSE)</f>
        <v>12625044</v>
      </c>
      <c r="E79" s="5">
        <f t="shared" si="3"/>
        <v>0.41399999999999998</v>
      </c>
      <c r="F79" s="5">
        <f t="shared" si="4"/>
        <v>0.61699999999999999</v>
      </c>
      <c r="H79" s="3">
        <f t="shared" si="5"/>
        <v>2554.38</v>
      </c>
    </row>
    <row r="80" spans="1:8" x14ac:dyDescent="0.3">
      <c r="A80" t="s">
        <v>30</v>
      </c>
      <c r="B80" s="3">
        <f>VLOOKUP(A80,raw_20260609_185140!$B$2:$C$96,2,FALSE)</f>
        <v>2775719</v>
      </c>
      <c r="C80" s="3">
        <f>VLOOKUP(A80,raw_20260609_185943!$B$2:$C$96,2,FALSE)</f>
        <v>10356991</v>
      </c>
      <c r="E80" s="5">
        <f t="shared" si="3"/>
        <v>0.34</v>
      </c>
      <c r="F80" s="5">
        <f t="shared" si="4"/>
        <v>0.32900000000000001</v>
      </c>
      <c r="H80" s="3">
        <f t="shared" si="5"/>
        <v>1118.6000000000001</v>
      </c>
    </row>
    <row r="81" spans="1:8" x14ac:dyDescent="0.3">
      <c r="A81" t="s">
        <v>55</v>
      </c>
      <c r="B81" s="3">
        <f>VLOOKUP(A81,raw_20260609_185140!$B$2:$C$96,2,FALSE)</f>
        <v>4641189</v>
      </c>
      <c r="C81" s="3">
        <f>VLOOKUP(A81,raw_20260609_185943!$B$2:$C$96,2,FALSE)</f>
        <v>8593188</v>
      </c>
      <c r="E81" s="5">
        <f t="shared" si="3"/>
        <v>0.627</v>
      </c>
      <c r="F81" s="5">
        <f t="shared" si="4"/>
        <v>0.14799999999999999</v>
      </c>
      <c r="H81" s="3">
        <f t="shared" si="5"/>
        <v>927.95999999999992</v>
      </c>
    </row>
    <row r="82" spans="1:8" x14ac:dyDescent="0.3">
      <c r="A82" t="s">
        <v>38</v>
      </c>
      <c r="B82" s="3">
        <f>VLOOKUP(A82,raw_20260609_185140!$B$2:$C$96,2,FALSE)</f>
        <v>3831240</v>
      </c>
      <c r="C82" s="3">
        <f>VLOOKUP(A82,raw_20260609_185943!$B$2:$C$96,2,FALSE)</f>
        <v>8681257</v>
      </c>
      <c r="E82" s="5">
        <f t="shared" si="3"/>
        <v>0.42499999999999999</v>
      </c>
      <c r="F82" s="5">
        <f t="shared" si="4"/>
        <v>0.18</v>
      </c>
      <c r="H82" s="3">
        <f t="shared" si="5"/>
        <v>765</v>
      </c>
    </row>
    <row r="83" spans="1:8" x14ac:dyDescent="0.3">
      <c r="A83" t="s">
        <v>15</v>
      </c>
      <c r="B83" s="3">
        <f>VLOOKUP(A83,raw_20260609_185140!$B$2:$C$96,2,FALSE)</f>
        <v>1672833</v>
      </c>
      <c r="C83" s="3">
        <f>VLOOKUP(A83,raw_20260609_185943!$B$2:$C$96,2,FALSE)</f>
        <v>6460817</v>
      </c>
      <c r="E83" s="5">
        <f t="shared" si="3"/>
        <v>0.17</v>
      </c>
      <c r="F83" s="5">
        <f t="shared" si="4"/>
        <v>3.1E-2</v>
      </c>
      <c r="H83" s="3">
        <f t="shared" si="5"/>
        <v>52.7</v>
      </c>
    </row>
    <row r="84" spans="1:8" x14ac:dyDescent="0.3">
      <c r="A84" t="s">
        <v>68</v>
      </c>
      <c r="B84" s="3">
        <f>VLOOKUP(A84,raw_20260609_185140!$B$2:$C$96,2,FALSE)</f>
        <v>6008329</v>
      </c>
      <c r="C84" s="3">
        <f>VLOOKUP(A84,raw_20260609_185943!$B$2:$C$96,2,FALSE)</f>
        <v>15590506</v>
      </c>
      <c r="E84" s="5">
        <f t="shared" si="3"/>
        <v>0.77600000000000002</v>
      </c>
      <c r="F84" s="5">
        <f t="shared" si="4"/>
        <v>0.84</v>
      </c>
      <c r="H84" s="3">
        <f t="shared" si="5"/>
        <v>6518.4</v>
      </c>
    </row>
    <row r="85" spans="1:8" x14ac:dyDescent="0.3">
      <c r="A85" t="s">
        <v>28</v>
      </c>
      <c r="B85" s="3">
        <f>VLOOKUP(A85,raw_20260609_185140!$B$2:$C$96,2,FALSE)</f>
        <v>2766540</v>
      </c>
      <c r="C85" s="3">
        <f>VLOOKUP(A85,raw_20260609_185943!$B$2:$C$96,2,FALSE)</f>
        <v>11018161</v>
      </c>
      <c r="E85" s="5">
        <f t="shared" si="3"/>
        <v>0.31900000000000001</v>
      </c>
      <c r="F85" s="5">
        <f t="shared" si="4"/>
        <v>0.40400000000000003</v>
      </c>
      <c r="H85" s="3">
        <f t="shared" si="5"/>
        <v>1288.7600000000002</v>
      </c>
    </row>
    <row r="86" spans="1:8" x14ac:dyDescent="0.3">
      <c r="A86" t="s">
        <v>70</v>
      </c>
      <c r="B86" s="3">
        <f>VLOOKUP(A86,raw_20260609_185140!$B$2:$C$96,2,FALSE)</f>
        <v>6040919</v>
      </c>
      <c r="C86" s="3">
        <f>VLOOKUP(A86,raw_20260609_185943!$B$2:$C$96,2,FALSE)</f>
        <v>20030103</v>
      </c>
      <c r="E86" s="5">
        <f t="shared" si="3"/>
        <v>0.79700000000000004</v>
      </c>
      <c r="F86" s="5">
        <f t="shared" si="4"/>
        <v>0.96799999999999997</v>
      </c>
      <c r="H86" s="3">
        <f t="shared" si="5"/>
        <v>7714.9600000000009</v>
      </c>
    </row>
    <row r="87" spans="1:8" x14ac:dyDescent="0.3">
      <c r="A87" t="s">
        <v>60</v>
      </c>
      <c r="B87" s="3">
        <f>VLOOKUP(A87,raw_20260609_185140!$B$2:$C$96,2,FALSE)</f>
        <v>5128448</v>
      </c>
      <c r="C87" s="3">
        <f>VLOOKUP(A87,raw_20260609_185943!$B$2:$C$96,2,FALSE)</f>
        <v>18607827</v>
      </c>
      <c r="E87" s="5">
        <f t="shared" si="3"/>
        <v>0.68</v>
      </c>
      <c r="F87" s="5">
        <f t="shared" si="4"/>
        <v>0.91400000000000003</v>
      </c>
      <c r="H87" s="3">
        <f t="shared" si="5"/>
        <v>6215.2000000000007</v>
      </c>
    </row>
    <row r="88" spans="1:8" x14ac:dyDescent="0.3">
      <c r="A88" t="s">
        <v>54</v>
      </c>
      <c r="B88" s="3">
        <f>VLOOKUP(A88,raw_20260609_185140!$B$2:$C$96,2,FALSE)</f>
        <v>4576300</v>
      </c>
      <c r="C88" s="3">
        <f>VLOOKUP(A88,raw_20260609_185943!$B$2:$C$96,2,FALSE)</f>
        <v>7555440</v>
      </c>
      <c r="E88" s="5">
        <f t="shared" si="3"/>
        <v>0.61699999999999999</v>
      </c>
      <c r="F88" s="5">
        <f t="shared" si="4"/>
        <v>6.3E-2</v>
      </c>
      <c r="H88" s="3">
        <f t="shared" si="5"/>
        <v>388.71000000000004</v>
      </c>
    </row>
    <row r="89" spans="1:8" x14ac:dyDescent="0.3">
      <c r="A89" t="s">
        <v>8</v>
      </c>
      <c r="B89" s="3">
        <f>VLOOKUP(A89,raw_20260609_185140!$B$2:$C$96,2,FALSE)</f>
        <v>938217</v>
      </c>
      <c r="C89" s="3">
        <f>VLOOKUP(A89,raw_20260609_185943!$B$2:$C$96,2,FALSE)</f>
        <v>8392844</v>
      </c>
      <c r="E89" s="5">
        <f t="shared" si="3"/>
        <v>8.5000000000000006E-2</v>
      </c>
      <c r="F89" s="5">
        <f t="shared" si="4"/>
        <v>0.127</v>
      </c>
      <c r="H89" s="3">
        <f t="shared" si="5"/>
        <v>107.95</v>
      </c>
    </row>
    <row r="90" spans="1:8" x14ac:dyDescent="0.3">
      <c r="A90" t="s">
        <v>41</v>
      </c>
      <c r="B90" s="3">
        <f>VLOOKUP(A90,raw_20260609_185140!$B$2:$C$96,2,FALSE)</f>
        <v>3962431</v>
      </c>
      <c r="C90" s="3">
        <f>VLOOKUP(A90,raw_20260609_185943!$B$2:$C$96,2,FALSE)</f>
        <v>12461232</v>
      </c>
      <c r="E90" s="5">
        <f t="shared" si="3"/>
        <v>0.46800000000000003</v>
      </c>
      <c r="F90" s="5">
        <f t="shared" si="4"/>
        <v>0.58499999999999996</v>
      </c>
      <c r="H90" s="3">
        <f t="shared" si="5"/>
        <v>2737.8</v>
      </c>
    </row>
    <row r="91" spans="1:8" x14ac:dyDescent="0.3">
      <c r="A91" t="s">
        <v>93</v>
      </c>
      <c r="B91" s="3">
        <f>VLOOKUP(A91,raw_20260609_185140!$B$2:$C$96,2,FALSE)</f>
        <v>1757457</v>
      </c>
      <c r="C91" s="3">
        <f>VLOOKUP(A91,raw_20260609_185943!$B$2:$C$96,2,FALSE)</f>
        <v>10940573</v>
      </c>
      <c r="E91" s="5">
        <f t="shared" si="3"/>
        <v>0.18</v>
      </c>
      <c r="F91" s="5">
        <f t="shared" si="4"/>
        <v>0.38200000000000001</v>
      </c>
      <c r="H91" s="3">
        <f t="shared" si="5"/>
        <v>687.6</v>
      </c>
    </row>
    <row r="92" spans="1:8" x14ac:dyDescent="0.3">
      <c r="A92" t="s">
        <v>46</v>
      </c>
      <c r="B92" s="3">
        <f>VLOOKUP(A92,raw_20260609_185140!$B$2:$C$96,2,FALSE)</f>
        <v>4149133</v>
      </c>
      <c r="C92" s="3">
        <f>VLOOKUP(A92,raw_20260609_185943!$B$2:$C$96,2,FALSE)</f>
        <v>10802273</v>
      </c>
      <c r="E92" s="5">
        <f t="shared" si="3"/>
        <v>0.52100000000000002</v>
      </c>
      <c r="F92" s="5">
        <f t="shared" si="4"/>
        <v>0.36099999999999999</v>
      </c>
      <c r="H92" s="3">
        <f t="shared" si="5"/>
        <v>1880.81</v>
      </c>
    </row>
    <row r="93" spans="1:8" x14ac:dyDescent="0.3">
      <c r="A93" t="s">
        <v>12</v>
      </c>
      <c r="B93" s="3">
        <f>VLOOKUP(A93,raw_20260609_185140!$B$2:$C$96,2,FALSE)</f>
        <v>1472845</v>
      </c>
      <c r="C93" s="3">
        <f>VLOOKUP(A93,raw_20260609_185943!$B$2:$C$96,2,FALSE)</f>
        <v>11377581</v>
      </c>
      <c r="E93" s="5">
        <f t="shared" si="3"/>
        <v>0.13800000000000001</v>
      </c>
      <c r="F93" s="5">
        <f t="shared" si="4"/>
        <v>0.44600000000000001</v>
      </c>
      <c r="H93" s="3">
        <f t="shared" si="5"/>
        <v>615.48</v>
      </c>
    </row>
    <row r="94" spans="1:8" x14ac:dyDescent="0.3">
      <c r="A94" t="s">
        <v>24</v>
      </c>
      <c r="B94" s="3">
        <f>VLOOKUP(A94,raw_20260609_185140!$B$2:$C$96,2,FALSE)</f>
        <v>2349397</v>
      </c>
      <c r="C94" s="3">
        <f>VLOOKUP(A94,raw_20260609_185943!$B$2:$C$96,2,FALSE)</f>
        <v>9737463</v>
      </c>
      <c r="E94" s="5">
        <f t="shared" si="3"/>
        <v>0.27600000000000002</v>
      </c>
      <c r="F94" s="5">
        <f t="shared" si="4"/>
        <v>0.28699999999999998</v>
      </c>
      <c r="H94" s="3">
        <f t="shared" si="5"/>
        <v>792.12</v>
      </c>
    </row>
    <row r="95" spans="1:8" x14ac:dyDescent="0.3">
      <c r="A95" t="s">
        <v>48</v>
      </c>
      <c r="B95" s="3">
        <f>VLOOKUP(A95,raw_20260609_185140!$B$2:$C$96,2,FALSE)</f>
        <v>4322394</v>
      </c>
      <c r="C95" s="3">
        <f>VLOOKUP(A95,raw_20260609_185943!$B$2:$C$96,2,FALSE)</f>
        <v>15413816</v>
      </c>
      <c r="E95" s="5">
        <f t="shared" si="3"/>
        <v>0.55300000000000005</v>
      </c>
      <c r="F95" s="5">
        <f t="shared" si="4"/>
        <v>0.82899999999999996</v>
      </c>
      <c r="H95" s="3">
        <f t="shared" si="5"/>
        <v>4584.3700000000008</v>
      </c>
    </row>
    <row r="96" spans="1:8" x14ac:dyDescent="0.3">
      <c r="A96" t="s">
        <v>47</v>
      </c>
      <c r="B96" s="3">
        <f>VLOOKUP(A96,raw_20260609_185140!$B$2:$C$96,2,FALSE)</f>
        <v>4206739</v>
      </c>
      <c r="C96" s="3">
        <f>VLOOKUP(A96,raw_20260609_185943!$B$2:$C$96,2,FALSE)</f>
        <v>21048315</v>
      </c>
      <c r="E96" s="5">
        <f t="shared" si="3"/>
        <v>0.54200000000000004</v>
      </c>
      <c r="F96" s="5">
        <f t="shared" si="4"/>
        <v>0.97799999999999998</v>
      </c>
      <c r="H96" s="3">
        <f t="shared" si="5"/>
        <v>5300.76</v>
      </c>
    </row>
  </sheetData>
  <sortState xmlns:xlrd2="http://schemas.microsoft.com/office/spreadsheetml/2017/richdata2" ref="A2:A96">
    <sortCondition ref="A2:A96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CD2CC-D2E0-4DAF-8D16-31DCF73231C6}">
  <dimension ref="A1:F96"/>
  <sheetViews>
    <sheetView topLeftCell="A52" workbookViewId="0">
      <selection activeCell="F94" sqref="F94"/>
    </sheetView>
  </sheetViews>
  <sheetFormatPr defaultRowHeight="14.4" x14ac:dyDescent="0.3"/>
  <cols>
    <col min="1" max="1" width="24.109375" customWidth="1"/>
    <col min="2" max="3" width="13.21875" style="3" customWidth="1"/>
    <col min="4" max="4" width="2.88671875" customWidth="1"/>
    <col min="5" max="6" width="13.21875" style="3" customWidth="1"/>
  </cols>
  <sheetData>
    <row r="1" spans="1:6" x14ac:dyDescent="0.3">
      <c r="A1" s="1" t="s">
        <v>96</v>
      </c>
      <c r="B1" s="2" t="s">
        <v>99</v>
      </c>
      <c r="C1" s="2" t="s">
        <v>100</v>
      </c>
      <c r="D1" s="1"/>
      <c r="E1" s="2" t="s">
        <v>97</v>
      </c>
      <c r="F1" s="2" t="s">
        <v>98</v>
      </c>
    </row>
    <row r="2" spans="1:6" x14ac:dyDescent="0.3">
      <c r="A2" t="s">
        <v>85</v>
      </c>
      <c r="B2" s="3">
        <f>VLOOKUP(A2,analysis!$A$1:$H$96,8,FALSE)</f>
        <v>8957.52</v>
      </c>
      <c r="C2" s="3">
        <f>RANK(B2,$B$2:$B$96)</f>
        <v>1</v>
      </c>
      <c r="E2" s="3">
        <f>VLOOKUP(A2,analysis!$A$1:$C$96,2)</f>
        <v>9314206</v>
      </c>
      <c r="F2" s="3">
        <f>VLOOKUP(A2,analysis!$A$1:$C$96,3)</f>
        <v>19304683</v>
      </c>
    </row>
    <row r="3" spans="1:6" x14ac:dyDescent="0.3">
      <c r="A3" t="s">
        <v>82</v>
      </c>
      <c r="B3" s="3">
        <f>VLOOKUP(A3,analysis!$A$1:$H$96,8,FALSE)</f>
        <v>8852.25</v>
      </c>
      <c r="C3" s="3">
        <f>RANK(B3,$B$2:$B$96)</f>
        <v>2</v>
      </c>
      <c r="E3" s="3">
        <f>VLOOKUP(A3,analysis!$A$1:$C$96,2)</f>
        <v>8603326</v>
      </c>
      <c r="F3" s="3">
        <f>VLOOKUP(A3,analysis!$A$1:$C$96,3)</f>
        <v>20009077</v>
      </c>
    </row>
    <row r="4" spans="1:6" x14ac:dyDescent="0.3">
      <c r="A4" t="s">
        <v>86</v>
      </c>
      <c r="B4" s="3">
        <f>VLOOKUP(A4,analysis!$A$1:$H$96,8,FALSE)</f>
        <v>8537.76</v>
      </c>
      <c r="C4" s="3">
        <f>RANK(B4,$B$2:$B$96)</f>
        <v>3</v>
      </c>
      <c r="E4" s="3">
        <f>VLOOKUP(A4,analysis!$A$1:$C$96,2)</f>
        <v>10569143</v>
      </c>
      <c r="F4" s="3">
        <f>VLOOKUP(A4,analysis!$A$1:$C$96,3)</f>
        <v>16798323</v>
      </c>
    </row>
    <row r="5" spans="1:6" x14ac:dyDescent="0.3">
      <c r="A5" t="s">
        <v>88</v>
      </c>
      <c r="B5" s="3">
        <f>VLOOKUP(A5,analysis!$A$1:$H$96,8,FALSE)</f>
        <v>8099.9099999999989</v>
      </c>
      <c r="C5" s="3">
        <f>RANK(B5,$B$2:$B$96)</f>
        <v>4</v>
      </c>
      <c r="E5" s="3">
        <f>VLOOKUP(A5,analysis!$A$1:$C$96,2)</f>
        <v>12245364</v>
      </c>
      <c r="F5" s="3">
        <f>VLOOKUP(A5,analysis!$A$1:$C$96,3)</f>
        <v>15267872</v>
      </c>
    </row>
    <row r="6" spans="1:6" x14ac:dyDescent="0.3">
      <c r="A6" t="s">
        <v>76</v>
      </c>
      <c r="B6" s="3">
        <f>VLOOKUP(A6,analysis!$A$1:$H$96,8,FALSE)</f>
        <v>7964.2500000000009</v>
      </c>
      <c r="C6" s="3">
        <f>RANK(B6,$B$2:$B$96)</f>
        <v>5</v>
      </c>
      <c r="E6" s="3">
        <f>VLOOKUP(A6,analysis!$A$1:$C$96,2)</f>
        <v>6451253</v>
      </c>
      <c r="F6" s="3">
        <f>VLOOKUP(A6,analysis!$A$1:$C$96,3)</f>
        <v>18960154</v>
      </c>
    </row>
    <row r="7" spans="1:6" x14ac:dyDescent="0.3">
      <c r="A7" t="s">
        <v>78</v>
      </c>
      <c r="B7" s="3">
        <f>VLOOKUP(A7,analysis!$A$1:$H$96,8,FALSE)</f>
        <v>7876.26</v>
      </c>
      <c r="C7" s="3">
        <f>RANK(B7,$B$2:$B$96)</f>
        <v>6</v>
      </c>
      <c r="E7" s="3">
        <f>VLOOKUP(A7,analysis!$A$1:$C$96,2)</f>
        <v>6733809</v>
      </c>
      <c r="F7" s="3">
        <f>VLOOKUP(A7,analysis!$A$1:$C$96,3)</f>
        <v>17754429</v>
      </c>
    </row>
    <row r="8" spans="1:6" x14ac:dyDescent="0.3">
      <c r="A8" t="s">
        <v>70</v>
      </c>
      <c r="B8" s="3">
        <f>VLOOKUP(A8,analysis!$A$1:$H$96,8,FALSE)</f>
        <v>7714.9600000000009</v>
      </c>
      <c r="C8" s="3">
        <f>RANK(B8,$B$2:$B$96)</f>
        <v>7</v>
      </c>
      <c r="E8" s="3">
        <f>VLOOKUP(A8,analysis!$A$1:$C$96,2)</f>
        <v>6040919</v>
      </c>
      <c r="F8" s="3">
        <f>VLOOKUP(A8,analysis!$A$1:$C$96,3)</f>
        <v>20030103</v>
      </c>
    </row>
    <row r="9" spans="1:6" x14ac:dyDescent="0.3">
      <c r="A9" t="s">
        <v>71</v>
      </c>
      <c r="B9" s="3">
        <f>VLOOKUP(A9,analysis!$A$1:$H$96,8,FALSE)</f>
        <v>7643.68</v>
      </c>
      <c r="C9" s="3">
        <f>RANK(B9,$B$2:$B$96)</f>
        <v>8</v>
      </c>
      <c r="E9" s="3">
        <f>VLOOKUP(A9,analysis!$A$1:$C$96,2)</f>
        <v>6115380</v>
      </c>
      <c r="F9" s="3">
        <f>VLOOKUP(A9,analysis!$A$1:$C$96,3)</f>
        <v>19995322</v>
      </c>
    </row>
    <row r="10" spans="1:6" x14ac:dyDescent="0.3">
      <c r="A10" t="s">
        <v>74</v>
      </c>
      <c r="B10" s="3">
        <f>VLOOKUP(A10,analysis!$A$1:$H$96,8,FALSE)</f>
        <v>7593.6</v>
      </c>
      <c r="C10" s="3">
        <f>RANK(B10,$B$2:$B$96)</f>
        <v>9</v>
      </c>
      <c r="E10" s="3">
        <f>VLOOKUP(A10,analysis!$A$1:$C$96,2)</f>
        <v>6330561</v>
      </c>
      <c r="F10" s="3">
        <f>VLOOKUP(A10,analysis!$A$1:$C$96,3)</f>
        <v>18155735</v>
      </c>
    </row>
    <row r="11" spans="1:6" x14ac:dyDescent="0.3">
      <c r="A11" t="s">
        <v>66</v>
      </c>
      <c r="B11" s="3">
        <f>VLOOKUP(A11,analysis!$A$1:$H$96,8,FALSE)</f>
        <v>7550</v>
      </c>
      <c r="C11" s="3">
        <f>RANK(B11,$B$2:$B$96)</f>
        <v>10</v>
      </c>
      <c r="E11" s="3">
        <f>VLOOKUP(A11,analysis!$A$1:$C$96,2)</f>
        <v>5904086</v>
      </c>
      <c r="F11" s="3">
        <f>VLOOKUP(A11,analysis!$A$1:$C$96,3)</f>
        <v>22543717</v>
      </c>
    </row>
    <row r="12" spans="1:6" x14ac:dyDescent="0.3">
      <c r="A12" t="s">
        <v>84</v>
      </c>
      <c r="B12" s="3">
        <f>VLOOKUP(A12,analysis!$A$1:$H$96,8,FALSE)</f>
        <v>7539.62</v>
      </c>
      <c r="C12" s="3">
        <f>RANK(B12,$B$2:$B$96)</f>
        <v>11</v>
      </c>
      <c r="E12" s="3">
        <f>VLOOKUP(A12,analysis!$A$1:$C$96,2)</f>
        <v>9247571</v>
      </c>
      <c r="F12" s="3">
        <f>VLOOKUP(A12,analysis!$A$1:$C$96,3)</f>
        <v>14883117</v>
      </c>
    </row>
    <row r="13" spans="1:6" x14ac:dyDescent="0.3">
      <c r="A13" t="s">
        <v>80</v>
      </c>
      <c r="B13" s="3">
        <f>VLOOKUP(A13,analysis!$A$1:$H$96,8,FALSE)</f>
        <v>6825.2</v>
      </c>
      <c r="C13" s="3">
        <f>RANK(B13,$B$2:$B$96)</f>
        <v>12</v>
      </c>
      <c r="E13" s="3">
        <f>VLOOKUP(A13,analysis!$A$1:$C$96,2)</f>
        <v>6863684</v>
      </c>
      <c r="F13" s="3">
        <f>VLOOKUP(A13,analysis!$A$1:$C$96,3)</f>
        <v>14111194</v>
      </c>
    </row>
    <row r="14" spans="1:6" x14ac:dyDescent="0.3">
      <c r="A14" t="s">
        <v>83</v>
      </c>
      <c r="B14" s="3">
        <f>VLOOKUP(A14,analysis!$A$1:$H$96,8,FALSE)</f>
        <v>6767.28</v>
      </c>
      <c r="C14" s="3">
        <f>RANK(B14,$B$2:$B$96)</f>
        <v>13</v>
      </c>
      <c r="E14" s="3">
        <f>VLOOKUP(A14,analysis!$A$1:$C$96,2)</f>
        <v>8931884</v>
      </c>
      <c r="F14" s="3">
        <f>VLOOKUP(A14,analysis!$A$1:$C$96,3)</f>
        <v>13526162</v>
      </c>
    </row>
    <row r="15" spans="1:6" x14ac:dyDescent="0.3">
      <c r="A15" t="s">
        <v>68</v>
      </c>
      <c r="B15" s="3">
        <f>VLOOKUP(A15,analysis!$A$1:$H$96,8,FALSE)</f>
        <v>6518.4</v>
      </c>
      <c r="C15" s="3">
        <f>RANK(B15,$B$2:$B$96)</f>
        <v>14</v>
      </c>
      <c r="E15" s="3">
        <f>VLOOKUP(A15,analysis!$A$1:$C$96,2)</f>
        <v>6008329</v>
      </c>
      <c r="F15" s="3">
        <f>VLOOKUP(A15,analysis!$A$1:$C$96,3)</f>
        <v>15590506</v>
      </c>
    </row>
    <row r="16" spans="1:6" x14ac:dyDescent="0.3">
      <c r="A16" t="s">
        <v>87</v>
      </c>
      <c r="B16" s="3">
        <f>VLOOKUP(A16,analysis!$A$1:$H$96,8,FALSE)</f>
        <v>6239.6399999999994</v>
      </c>
      <c r="C16" s="3">
        <f>RANK(B16,$B$2:$B$96)</f>
        <v>15</v>
      </c>
      <c r="E16" s="3">
        <f>VLOOKUP(A16,analysis!$A$1:$C$96,2)</f>
        <v>11634735</v>
      </c>
      <c r="F16" s="3">
        <f>VLOOKUP(A16,analysis!$A$1:$C$96,3)</f>
        <v>12753703</v>
      </c>
    </row>
    <row r="17" spans="1:6" x14ac:dyDescent="0.3">
      <c r="A17" t="s">
        <v>60</v>
      </c>
      <c r="B17" s="3">
        <f>VLOOKUP(A17,analysis!$A$1:$H$96,8,FALSE)</f>
        <v>6215.2000000000007</v>
      </c>
      <c r="C17" s="3">
        <f>RANK(B17,$B$2:$B$96)</f>
        <v>16</v>
      </c>
      <c r="E17" s="3">
        <f>VLOOKUP(A17,analysis!$A$1:$C$96,2)</f>
        <v>5128448</v>
      </c>
      <c r="F17" s="3">
        <f>VLOOKUP(A17,analysis!$A$1:$C$96,3)</f>
        <v>18607827</v>
      </c>
    </row>
    <row r="18" spans="1:6" x14ac:dyDescent="0.3">
      <c r="A18" t="s">
        <v>77</v>
      </c>
      <c r="B18" s="3">
        <f>VLOOKUP(A18,analysis!$A$1:$H$96,8,FALSE)</f>
        <v>6121.4399999999987</v>
      </c>
      <c r="C18" s="3">
        <f>RANK(B18,$B$2:$B$96)</f>
        <v>17</v>
      </c>
      <c r="E18" s="3">
        <f>VLOOKUP(A18,analysis!$A$1:$C$96,2)</f>
        <v>6645174</v>
      </c>
      <c r="F18" s="3">
        <f>VLOOKUP(A18,analysis!$A$1:$C$96,3)</f>
        <v>13348723</v>
      </c>
    </row>
    <row r="19" spans="1:6" x14ac:dyDescent="0.3">
      <c r="A19" t="s">
        <v>62</v>
      </c>
      <c r="B19" s="3">
        <f>VLOOKUP(A19,analysis!$A$1:$H$96,8,FALSE)</f>
        <v>6121.4399999999987</v>
      </c>
      <c r="C19" s="3">
        <f>RANK(B19,$B$2:$B$96)</f>
        <v>17</v>
      </c>
      <c r="E19" s="3">
        <f>VLOOKUP(A19,analysis!$A$1:$C$96,2)</f>
        <v>5225717</v>
      </c>
      <c r="F19" s="3">
        <f>VLOOKUP(A19,analysis!$A$1:$C$96,3)</f>
        <v>16522180</v>
      </c>
    </row>
    <row r="20" spans="1:6" x14ac:dyDescent="0.3">
      <c r="A20" t="s">
        <v>69</v>
      </c>
      <c r="B20" s="3">
        <f>VLOOKUP(A20,analysis!$A$1:$H$96,8,FALSE)</f>
        <v>5603.44</v>
      </c>
      <c r="C20" s="3">
        <f>RANK(B20,$B$2:$B$96)</f>
        <v>19</v>
      </c>
      <c r="E20" s="3">
        <f>VLOOKUP(A20,analysis!$A$1:$C$96,2)</f>
        <v>6013376</v>
      </c>
      <c r="F20" s="3">
        <f>VLOOKUP(A20,analysis!$A$1:$C$96,3)</f>
        <v>13471090</v>
      </c>
    </row>
    <row r="21" spans="1:6" x14ac:dyDescent="0.3">
      <c r="A21" t="s">
        <v>89</v>
      </c>
      <c r="B21" s="3">
        <f>VLOOKUP(A21,analysis!$A$1:$H$96,8,FALSE)</f>
        <v>5530.0000000000009</v>
      </c>
      <c r="C21" s="3">
        <f>RANK(B21,$B$2:$B$96)</f>
        <v>20</v>
      </c>
      <c r="E21" s="3">
        <f>VLOOKUP(A21,analysis!$A$1:$C$96,2)</f>
        <v>12415346</v>
      </c>
      <c r="F21" s="3">
        <f>VLOOKUP(A21,analysis!$A$1:$C$96,3)</f>
        <v>12262715</v>
      </c>
    </row>
    <row r="22" spans="1:6" x14ac:dyDescent="0.3">
      <c r="A22" t="s">
        <v>79</v>
      </c>
      <c r="B22" s="3">
        <f>VLOOKUP(A22,analysis!$A$1:$H$96,8,FALSE)</f>
        <v>5313.35</v>
      </c>
      <c r="C22" s="3">
        <f>RANK(B22,$B$2:$B$96)</f>
        <v>21</v>
      </c>
      <c r="E22" s="3">
        <f>VLOOKUP(A22,analysis!$A$1:$C$96,2)</f>
        <v>6797175</v>
      </c>
      <c r="F22" s="3">
        <f>VLOOKUP(A22,analysis!$A$1:$C$96,3)</f>
        <v>12529656</v>
      </c>
    </row>
    <row r="23" spans="1:6" x14ac:dyDescent="0.3">
      <c r="A23" t="s">
        <v>47</v>
      </c>
      <c r="B23" s="3">
        <f>VLOOKUP(A23,analysis!$A$1:$H$96,8,FALSE)</f>
        <v>5300.76</v>
      </c>
      <c r="C23" s="3">
        <f>RANK(B23,$B$2:$B$96)</f>
        <v>22</v>
      </c>
      <c r="E23" s="3">
        <f>VLOOKUP(A23,analysis!$A$1:$C$96,2)</f>
        <v>4206739</v>
      </c>
      <c r="F23" s="3">
        <f>VLOOKUP(A23,analysis!$A$1:$C$96,3)</f>
        <v>21048315</v>
      </c>
    </row>
    <row r="24" spans="1:6" x14ac:dyDescent="0.3">
      <c r="A24" t="s">
        <v>61</v>
      </c>
      <c r="B24" s="3">
        <f>VLOOKUP(A24,analysis!$A$1:$H$96,8,FALSE)</f>
        <v>5286.15</v>
      </c>
      <c r="C24" s="3">
        <f>RANK(B24,$B$2:$B$96)</f>
        <v>23</v>
      </c>
      <c r="E24" s="3">
        <f>VLOOKUP(A24,analysis!$A$1:$C$96,2)</f>
        <v>5225346</v>
      </c>
      <c r="F24" s="3">
        <f>VLOOKUP(A24,analysis!$A$1:$C$96,3)</f>
        <v>14165047</v>
      </c>
    </row>
    <row r="25" spans="1:6" x14ac:dyDescent="0.3">
      <c r="A25" t="s">
        <v>63</v>
      </c>
      <c r="B25" s="3">
        <f>VLOOKUP(A25,analysis!$A$1:$H$96,8,FALSE)</f>
        <v>4770.4000000000005</v>
      </c>
      <c r="C25" s="3">
        <f>RANK(B25,$B$2:$B$96)</f>
        <v>24</v>
      </c>
      <c r="E25" s="3">
        <f>VLOOKUP(A25,analysis!$A$1:$C$96,2)</f>
        <v>5553839</v>
      </c>
      <c r="F25" s="3">
        <f>VLOOKUP(A25,analysis!$A$1:$C$96,3)</f>
        <v>13199144</v>
      </c>
    </row>
    <row r="26" spans="1:6" x14ac:dyDescent="0.3">
      <c r="A26" t="s">
        <v>57</v>
      </c>
      <c r="B26" s="3">
        <f>VLOOKUP(A26,analysis!$A$1:$H$96,8,FALSE)</f>
        <v>4756.32</v>
      </c>
      <c r="C26" s="3">
        <f>RANK(B26,$B$2:$B$96)</f>
        <v>25</v>
      </c>
      <c r="E26" s="3">
        <f>VLOOKUP(A26,analysis!$A$1:$C$96,2)</f>
        <v>4869154</v>
      </c>
      <c r="F26" s="3">
        <f>VLOOKUP(A26,analysis!$A$1:$C$96,3)</f>
        <v>13834039</v>
      </c>
    </row>
    <row r="27" spans="1:6" x14ac:dyDescent="0.3">
      <c r="A27" t="s">
        <v>81</v>
      </c>
      <c r="B27" s="3">
        <f>VLOOKUP(A27,analysis!$A$1:$H$96,8,FALSE)</f>
        <v>4661.3999999999996</v>
      </c>
      <c r="C27" s="3">
        <f>RANK(B27,$B$2:$B$96)</f>
        <v>26</v>
      </c>
      <c r="E27" s="3">
        <f>VLOOKUP(A27,analysis!$A$1:$C$96,2)</f>
        <v>6966055</v>
      </c>
      <c r="F27" s="3">
        <f>VLOOKUP(A27,analysis!$A$1:$C$96,3)</f>
        <v>12083184</v>
      </c>
    </row>
    <row r="28" spans="1:6" x14ac:dyDescent="0.3">
      <c r="A28" t="s">
        <v>48</v>
      </c>
      <c r="B28" s="3">
        <f>VLOOKUP(A28,analysis!$A$1:$H$96,8,FALSE)</f>
        <v>4584.3700000000008</v>
      </c>
      <c r="C28" s="3">
        <f>RANK(B28,$B$2:$B$96)</f>
        <v>27</v>
      </c>
      <c r="E28" s="3">
        <f>VLOOKUP(A28,analysis!$A$1:$C$96,2)</f>
        <v>4322394</v>
      </c>
      <c r="F28" s="3">
        <f>VLOOKUP(A28,analysis!$A$1:$C$96,3)</f>
        <v>15413816</v>
      </c>
    </row>
    <row r="29" spans="1:6" x14ac:dyDescent="0.3">
      <c r="A29" t="s">
        <v>94</v>
      </c>
      <c r="B29" s="3">
        <f>VLOOKUP(A29,analysis!$A$1:$H$96,8,FALSE)</f>
        <v>4381.38</v>
      </c>
      <c r="C29" s="3">
        <f>RANK(B29,$B$2:$B$96)</f>
        <v>28</v>
      </c>
      <c r="E29" s="3">
        <f>VLOOKUP(A29,analysis!$A$1:$C$96,2)</f>
        <v>5636919</v>
      </c>
      <c r="F29" s="3">
        <f>VLOOKUP(A29,analysis!$A$1:$C$96,3)</f>
        <v>12539577</v>
      </c>
    </row>
    <row r="30" spans="1:6" x14ac:dyDescent="0.3">
      <c r="A30" t="s">
        <v>43</v>
      </c>
      <c r="B30" s="3">
        <f>VLOOKUP(A30,analysis!$A$1:$H$96,8,FALSE)</f>
        <v>4161.3899999999994</v>
      </c>
      <c r="C30" s="3">
        <f>RANK(B30,$B$2:$B$96)</f>
        <v>29</v>
      </c>
      <c r="E30" s="3">
        <f>VLOOKUP(A30,analysis!$A$1:$C$96,2)</f>
        <v>4007714</v>
      </c>
      <c r="F30" s="3">
        <f>VLOOKUP(A30,analysis!$A$1:$C$96,3)</f>
        <v>15906464</v>
      </c>
    </row>
    <row r="31" spans="1:6" x14ac:dyDescent="0.3">
      <c r="A31" t="s">
        <v>67</v>
      </c>
      <c r="B31" s="3">
        <f>VLOOKUP(A31,analysis!$A$1:$H$96,8,FALSE)</f>
        <v>4146.3</v>
      </c>
      <c r="C31" s="3">
        <f>RANK(B31,$B$2:$B$96)</f>
        <v>30</v>
      </c>
      <c r="E31" s="3">
        <f>VLOOKUP(A31,analysis!$A$1:$C$96,2)</f>
        <v>5969930</v>
      </c>
      <c r="F31" s="3">
        <f>VLOOKUP(A31,analysis!$A$1:$C$96,3)</f>
        <v>12211506</v>
      </c>
    </row>
    <row r="32" spans="1:6" x14ac:dyDescent="0.3">
      <c r="A32" t="s">
        <v>42</v>
      </c>
      <c r="B32" s="3">
        <f>VLOOKUP(A32,analysis!$A$1:$H$96,8,FALSE)</f>
        <v>4115.58</v>
      </c>
      <c r="C32" s="3">
        <f>RANK(B32,$B$2:$B$96)</f>
        <v>31</v>
      </c>
      <c r="E32" s="3">
        <f>VLOOKUP(A32,analysis!$A$1:$C$96,2)</f>
        <v>4003559</v>
      </c>
      <c r="F32" s="3">
        <f>VLOOKUP(A32,analysis!$A$1:$C$96,3)</f>
        <v>16223844</v>
      </c>
    </row>
    <row r="33" spans="1:6" x14ac:dyDescent="0.3">
      <c r="A33" t="s">
        <v>51</v>
      </c>
      <c r="B33" s="3">
        <f>VLOOKUP(A33,analysis!$A$1:$H$96,8,FALSE)</f>
        <v>3978</v>
      </c>
      <c r="C33" s="3">
        <f>RANK(B33,$B$2:$B$96)</f>
        <v>32</v>
      </c>
      <c r="E33" s="3">
        <f>VLOOKUP(A33,analysis!$A$1:$C$96,2)</f>
        <v>4411775</v>
      </c>
      <c r="F33" s="3">
        <f>VLOOKUP(A33,analysis!$A$1:$C$96,3)</f>
        <v>13225145</v>
      </c>
    </row>
    <row r="34" spans="1:6" x14ac:dyDescent="0.3">
      <c r="A34" t="s">
        <v>64</v>
      </c>
      <c r="B34" s="3">
        <f>VLOOKUP(A34,analysis!$A$1:$H$96,8,FALSE)</f>
        <v>3897.54</v>
      </c>
      <c r="C34" s="3">
        <f>RANK(B34,$B$2:$B$96)</f>
        <v>33</v>
      </c>
      <c r="E34" s="3">
        <f>VLOOKUP(A34,analysis!$A$1:$C$96,2)</f>
        <v>5638493</v>
      </c>
      <c r="F34" s="3">
        <f>VLOOKUP(A34,analysis!$A$1:$C$96,3)</f>
        <v>12202433</v>
      </c>
    </row>
    <row r="35" spans="1:6" x14ac:dyDescent="0.3">
      <c r="A35" t="s">
        <v>101</v>
      </c>
      <c r="B35" s="3">
        <f>VLOOKUP(A35,analysis!$A$1:$H$96,8,FALSE)</f>
        <v>3603.6800000000003</v>
      </c>
      <c r="C35" s="3">
        <f>RANK(B35,$B$2:$B$96)</f>
        <v>34</v>
      </c>
      <c r="E35" s="3">
        <f>VLOOKUP(A35,analysis!$A$1:$C$96,2)</f>
        <v>4837386</v>
      </c>
      <c r="F35" s="3">
        <f>VLOOKUP(A35,analysis!$A$1:$C$96,3)</f>
        <v>10334151</v>
      </c>
    </row>
    <row r="36" spans="1:6" x14ac:dyDescent="0.3">
      <c r="A36" t="s">
        <v>95</v>
      </c>
      <c r="B36" s="3">
        <f>VLOOKUP(A36,analysis!$A$1:$H$96,8,FALSE)</f>
        <v>3499.2900000000004</v>
      </c>
      <c r="C36" s="3">
        <f>RANK(B36,$B$2:$B$96)</f>
        <v>35</v>
      </c>
      <c r="E36" s="3">
        <f>VLOOKUP(A36,analysis!$A$1:$C$96,2)</f>
        <v>4189911</v>
      </c>
      <c r="F36" s="3">
        <f>VLOOKUP(A36,analysis!$A$1:$C$96,3)</f>
        <v>12847984</v>
      </c>
    </row>
    <row r="37" spans="1:6" x14ac:dyDescent="0.3">
      <c r="A37" t="s">
        <v>59</v>
      </c>
      <c r="B37" s="3">
        <f>VLOOKUP(A37,analysis!$A$1:$H$96,8,FALSE)</f>
        <v>2847.5</v>
      </c>
      <c r="C37" s="3">
        <f>RANK(B37,$B$2:$B$96)</f>
        <v>36</v>
      </c>
      <c r="E37" s="3">
        <f>VLOOKUP(A37,analysis!$A$1:$C$96,2)</f>
        <v>4995656</v>
      </c>
      <c r="F37" s="3">
        <f>VLOOKUP(A37,analysis!$A$1:$C$96,3)</f>
        <v>11242399</v>
      </c>
    </row>
    <row r="38" spans="1:6" x14ac:dyDescent="0.3">
      <c r="A38" t="s">
        <v>33</v>
      </c>
      <c r="B38" s="3">
        <f>VLOOKUP(A38,analysis!$A$1:$H$96,8,FALSE)</f>
        <v>2767.6800000000003</v>
      </c>
      <c r="C38" s="3">
        <f>RANK(B38,$B$2:$B$96)</f>
        <v>37</v>
      </c>
      <c r="E38" s="3">
        <f>VLOOKUP(A38,analysis!$A$1:$C$96,2)</f>
        <v>3262380</v>
      </c>
      <c r="F38" s="3">
        <f>VLOOKUP(A38,analysis!$A$1:$C$96,3)</f>
        <v>13986523</v>
      </c>
    </row>
    <row r="39" spans="1:6" x14ac:dyDescent="0.3">
      <c r="A39" t="s">
        <v>41</v>
      </c>
      <c r="B39" s="3">
        <f>VLOOKUP(A39,analysis!$A$1:$H$96,8,FALSE)</f>
        <v>2737.8</v>
      </c>
      <c r="C39" s="3">
        <f>RANK(B39,$B$2:$B$96)</f>
        <v>38</v>
      </c>
      <c r="E39" s="3">
        <f>VLOOKUP(A39,analysis!$A$1:$C$96,2)</f>
        <v>3962431</v>
      </c>
      <c r="F39" s="3">
        <f>VLOOKUP(A39,analysis!$A$1:$C$96,3)</f>
        <v>12461232</v>
      </c>
    </row>
    <row r="40" spans="1:6" x14ac:dyDescent="0.3">
      <c r="A40" t="s">
        <v>53</v>
      </c>
      <c r="B40" s="3">
        <f>VLOOKUP(A40,analysis!$A$1:$H$96,8,FALSE)</f>
        <v>2642.16</v>
      </c>
      <c r="C40" s="3">
        <f>RANK(B40,$B$2:$B$96)</f>
        <v>39</v>
      </c>
      <c r="E40" s="3">
        <f>VLOOKUP(A40,analysis!$A$1:$C$96,2)</f>
        <v>4523804</v>
      </c>
      <c r="F40" s="3">
        <f>VLOOKUP(A40,analysis!$A$1:$C$96,3)</f>
        <v>11312667</v>
      </c>
    </row>
    <row r="41" spans="1:6" x14ac:dyDescent="0.3">
      <c r="A41" t="s">
        <v>37</v>
      </c>
      <c r="B41" s="3">
        <f>VLOOKUP(A41,analysis!$A$1:$H$96,8,FALSE)</f>
        <v>2554.38</v>
      </c>
      <c r="C41" s="3">
        <f>RANK(B41,$B$2:$B$96)</f>
        <v>40</v>
      </c>
      <c r="E41" s="3">
        <f>VLOOKUP(A41,analysis!$A$1:$C$96,2)</f>
        <v>3799003</v>
      </c>
      <c r="F41" s="3">
        <f>VLOOKUP(A41,analysis!$A$1:$C$96,3)</f>
        <v>12625044</v>
      </c>
    </row>
    <row r="42" spans="1:6" x14ac:dyDescent="0.3">
      <c r="A42" t="s">
        <v>45</v>
      </c>
      <c r="B42" s="3">
        <f>VLOOKUP(A42,analysis!$A$1:$H$96,8,FALSE)</f>
        <v>2550</v>
      </c>
      <c r="C42" s="3">
        <f>RANK(B42,$B$2:$B$96)</f>
        <v>41</v>
      </c>
      <c r="E42" s="3">
        <f>VLOOKUP(A42,analysis!$A$1:$C$96,2)</f>
        <v>4094452</v>
      </c>
      <c r="F42" s="3">
        <f>VLOOKUP(A42,analysis!$A$1:$C$96,3)</f>
        <v>12030539</v>
      </c>
    </row>
    <row r="43" spans="1:6" x14ac:dyDescent="0.3">
      <c r="A43" t="s">
        <v>73</v>
      </c>
      <c r="B43" s="3">
        <f>VLOOKUP(A43,analysis!$A$1:$H$96,8,FALSE)</f>
        <v>2462.1299999999997</v>
      </c>
      <c r="C43" s="3">
        <f>RANK(B43,$B$2:$B$96)</f>
        <v>42</v>
      </c>
      <c r="E43" s="3">
        <f>VLOOKUP(A43,analysis!$A$1:$C$96,2)</f>
        <v>6146150</v>
      </c>
      <c r="F43" s="3">
        <f>VLOOKUP(A43,analysis!$A$1:$C$96,3)</f>
        <v>10255914</v>
      </c>
    </row>
    <row r="44" spans="1:6" x14ac:dyDescent="0.3">
      <c r="A44" t="s">
        <v>58</v>
      </c>
      <c r="B44" s="3">
        <f>VLOOKUP(A44,analysis!$A$1:$H$96,8,FALSE)</f>
        <v>2313.0899999999997</v>
      </c>
      <c r="C44" s="3">
        <f>RANK(B44,$B$2:$B$96)</f>
        <v>43</v>
      </c>
      <c r="E44" s="3">
        <f>VLOOKUP(A44,analysis!$A$1:$C$96,2)</f>
        <v>4935573</v>
      </c>
      <c r="F44" s="3">
        <f>VLOOKUP(A44,analysis!$A$1:$C$96,3)</f>
        <v>10533113</v>
      </c>
    </row>
    <row r="45" spans="1:6" x14ac:dyDescent="0.3">
      <c r="A45" t="s">
        <v>25</v>
      </c>
      <c r="B45" s="3">
        <f>VLOOKUP(A45,analysis!$A$1:$H$96,8,FALSE)</f>
        <v>2227.12</v>
      </c>
      <c r="C45" s="3">
        <f>RANK(B45,$B$2:$B$96)</f>
        <v>44</v>
      </c>
      <c r="E45" s="3">
        <f>VLOOKUP(A45,analysis!$A$1:$C$96,2)</f>
        <v>2735954</v>
      </c>
      <c r="F45" s="3">
        <f>VLOOKUP(A45,analysis!$A$1:$C$96,3)</f>
        <v>14222534</v>
      </c>
    </row>
    <row r="46" spans="1:6" x14ac:dyDescent="0.3">
      <c r="A46" t="s">
        <v>31</v>
      </c>
      <c r="B46" s="3">
        <f>VLOOKUP(A46,analysis!$A$1:$H$96,8,FALSE)</f>
        <v>2200.77</v>
      </c>
      <c r="C46" s="3">
        <f>RANK(B46,$B$2:$B$96)</f>
        <v>45</v>
      </c>
      <c r="E46" s="3">
        <f>VLOOKUP(A46,analysis!$A$1:$C$96,2)</f>
        <v>2890318</v>
      </c>
      <c r="F46" s="3">
        <f>VLOOKUP(A46,analysis!$A$1:$C$96,3)</f>
        <v>12660260</v>
      </c>
    </row>
    <row r="47" spans="1:6" x14ac:dyDescent="0.3">
      <c r="A47" t="s">
        <v>65</v>
      </c>
      <c r="B47" s="3">
        <f>VLOOKUP(A47,analysis!$A$1:$H$96,8,FALSE)</f>
        <v>2053.44</v>
      </c>
      <c r="C47" s="3">
        <f>RANK(B47,$B$2:$B$96)</f>
        <v>46</v>
      </c>
      <c r="E47" s="3">
        <f>VLOOKUP(A47,analysis!$A$1:$C$96,2)</f>
        <v>5730280</v>
      </c>
      <c r="F47" s="3">
        <f>VLOOKUP(A47,analysis!$A$1:$C$96,3)</f>
        <v>9401283</v>
      </c>
    </row>
    <row r="48" spans="1:6" x14ac:dyDescent="0.3">
      <c r="A48" t="s">
        <v>39</v>
      </c>
      <c r="B48" s="3">
        <f>VLOOKUP(A48,analysis!$A$1:$H$96,8,FALSE)</f>
        <v>1992.5200000000002</v>
      </c>
      <c r="C48" s="3">
        <f>RANK(B48,$B$2:$B$96)</f>
        <v>47</v>
      </c>
      <c r="E48" s="3">
        <f>VLOOKUP(A48,analysis!$A$1:$C$96,2)</f>
        <v>3863563</v>
      </c>
      <c r="F48" s="3">
        <f>VLOOKUP(A48,analysis!$A$1:$C$96,3)</f>
        <v>11417454</v>
      </c>
    </row>
    <row r="49" spans="1:6" x14ac:dyDescent="0.3">
      <c r="A49" t="s">
        <v>56</v>
      </c>
      <c r="B49" s="3">
        <f>VLOOKUP(A49,analysis!$A$1:$H$96,8,FALSE)</f>
        <v>1965.0400000000002</v>
      </c>
      <c r="C49" s="3">
        <f>RANK(B49,$B$2:$B$96)</f>
        <v>48</v>
      </c>
      <c r="E49" s="3">
        <f>VLOOKUP(A49,analysis!$A$1:$C$96,2)</f>
        <v>4837386</v>
      </c>
      <c r="F49" s="3">
        <f>VLOOKUP(A49,analysis!$A$1:$C$96,3)</f>
        <v>10334151</v>
      </c>
    </row>
    <row r="50" spans="1:6" x14ac:dyDescent="0.3">
      <c r="A50" t="s">
        <v>49</v>
      </c>
      <c r="B50" s="3">
        <f>VLOOKUP(A50,analysis!$A$1:$H$96,8,FALSE)</f>
        <v>1914.2</v>
      </c>
      <c r="C50" s="3">
        <f>RANK(B50,$B$2:$B$96)</f>
        <v>49</v>
      </c>
      <c r="E50" s="3">
        <f>VLOOKUP(A50,analysis!$A$1:$C$96,2)</f>
        <v>4337158</v>
      </c>
      <c r="F50" s="3">
        <f>VLOOKUP(A50,analysis!$A$1:$C$96,3)</f>
        <v>10512329</v>
      </c>
    </row>
    <row r="51" spans="1:6" x14ac:dyDescent="0.3">
      <c r="A51" t="s">
        <v>46</v>
      </c>
      <c r="B51" s="3">
        <f>VLOOKUP(A51,analysis!$A$1:$H$96,8,FALSE)</f>
        <v>1880.81</v>
      </c>
      <c r="C51" s="3">
        <f>RANK(B51,$B$2:$B$96)</f>
        <v>50</v>
      </c>
      <c r="E51" s="3">
        <f>VLOOKUP(A51,analysis!$A$1:$C$96,2)</f>
        <v>4149133</v>
      </c>
      <c r="F51" s="3">
        <f>VLOOKUP(A51,analysis!$A$1:$C$96,3)</f>
        <v>10802273</v>
      </c>
    </row>
    <row r="52" spans="1:6" x14ac:dyDescent="0.3">
      <c r="A52" t="s">
        <v>75</v>
      </c>
      <c r="B52" s="3">
        <f>VLOOKUP(A52,analysis!$A$1:$H$96,8,FALSE)</f>
        <v>1719.02</v>
      </c>
      <c r="C52" s="3">
        <f>RANK(B52,$B$2:$B$96)</f>
        <v>51</v>
      </c>
      <c r="E52" s="3">
        <f>VLOOKUP(A52,analysis!$A$1:$C$96,2)</f>
        <v>6387590</v>
      </c>
      <c r="F52" s="3">
        <f>VLOOKUP(A52,analysis!$A$1:$C$96,3)</f>
        <v>8767566</v>
      </c>
    </row>
    <row r="53" spans="1:6" x14ac:dyDescent="0.3">
      <c r="A53" t="s">
        <v>22</v>
      </c>
      <c r="B53" s="3">
        <f>VLOOKUP(A53,analysis!$A$1:$H$96,8,FALSE)</f>
        <v>1652.4</v>
      </c>
      <c r="C53" s="3">
        <f>RANK(B53,$B$2:$B$96)</f>
        <v>52</v>
      </c>
      <c r="E53" s="3">
        <f>VLOOKUP(A53,analysis!$A$1:$C$96,2)</f>
        <v>2230810</v>
      </c>
      <c r="F53" s="3">
        <f>VLOOKUP(A53,analysis!$A$1:$C$96,3)</f>
        <v>12777474</v>
      </c>
    </row>
    <row r="54" spans="1:6" x14ac:dyDescent="0.3">
      <c r="A54" t="s">
        <v>17</v>
      </c>
      <c r="B54" s="3">
        <f>VLOOKUP(A54,analysis!$A$1:$H$96,8,FALSE)</f>
        <v>1589.74</v>
      </c>
      <c r="C54" s="3">
        <f>RANK(B54,$B$2:$B$96)</f>
        <v>53</v>
      </c>
      <c r="E54" s="3">
        <f>VLOOKUP(A54,analysis!$A$1:$C$96,2)</f>
        <v>1817914</v>
      </c>
      <c r="F54" s="3">
        <f>VLOOKUP(A54,analysis!$A$1:$C$96,3)</f>
        <v>14255257</v>
      </c>
    </row>
    <row r="55" spans="1:6" x14ac:dyDescent="0.3">
      <c r="A55" t="s">
        <v>34</v>
      </c>
      <c r="B55" s="3">
        <f>VLOOKUP(A55,analysis!$A$1:$H$96,8,FALSE)</f>
        <v>1501.26</v>
      </c>
      <c r="C55" s="3">
        <f>RANK(B55,$B$2:$B$96)</f>
        <v>54</v>
      </c>
      <c r="E55" s="3">
        <f>VLOOKUP(A55,analysis!$A$1:$C$96,2)</f>
        <v>3296653</v>
      </c>
      <c r="F55" s="3">
        <f>VLOOKUP(A55,analysis!$A$1:$C$96,3)</f>
        <v>10948170</v>
      </c>
    </row>
    <row r="56" spans="1:6" x14ac:dyDescent="0.3">
      <c r="A56" t="s">
        <v>21</v>
      </c>
      <c r="B56" s="3">
        <f>VLOOKUP(A56,analysis!$A$1:$H$96,8,FALSE)</f>
        <v>1373.72</v>
      </c>
      <c r="C56" s="3">
        <f>RANK(B56,$B$2:$B$96)</f>
        <v>55</v>
      </c>
      <c r="E56" s="3">
        <f>VLOOKUP(A56,analysis!$A$1:$C$96,2)</f>
        <v>2088029</v>
      </c>
      <c r="F56" s="3">
        <f>VLOOKUP(A56,analysis!$A$1:$C$96,3)</f>
        <v>12379420</v>
      </c>
    </row>
    <row r="57" spans="1:6" x14ac:dyDescent="0.3">
      <c r="A57" t="s">
        <v>28</v>
      </c>
      <c r="B57" s="3">
        <f>VLOOKUP(A57,analysis!$A$1:$H$96,8,FALSE)</f>
        <v>1288.7600000000002</v>
      </c>
      <c r="C57" s="3">
        <f>RANK(B57,$B$2:$B$96)</f>
        <v>56</v>
      </c>
      <c r="E57" s="3">
        <f>VLOOKUP(A57,analysis!$A$1:$C$96,2)</f>
        <v>2766540</v>
      </c>
      <c r="F57" s="3">
        <f>VLOOKUP(A57,analysis!$A$1:$C$96,3)</f>
        <v>11018161</v>
      </c>
    </row>
    <row r="58" spans="1:6" x14ac:dyDescent="0.3">
      <c r="A58" t="s">
        <v>18</v>
      </c>
      <c r="B58" s="3">
        <f>VLOOKUP(A58,analysis!$A$1:$H$96,8,FALSE)</f>
        <v>1216.8799999999999</v>
      </c>
      <c r="C58" s="3">
        <f>RANK(B58,$B$2:$B$96)</f>
        <v>57</v>
      </c>
      <c r="E58" s="3">
        <f>VLOOKUP(A58,analysis!$A$1:$C$96,2)</f>
        <v>1901010</v>
      </c>
      <c r="F58" s="3">
        <f>VLOOKUP(A58,analysis!$A$1:$C$96,3)</f>
        <v>12424171</v>
      </c>
    </row>
    <row r="59" spans="1:6" x14ac:dyDescent="0.3">
      <c r="A59" t="s">
        <v>72</v>
      </c>
      <c r="B59" s="3">
        <f>VLOOKUP(A59,analysis!$A$1:$H$96,8,FALSE)</f>
        <v>1130.22</v>
      </c>
      <c r="C59" s="3">
        <f>RANK(B59,$B$2:$B$96)</f>
        <v>58</v>
      </c>
      <c r="E59" s="3">
        <f>VLOOKUP(A59,analysis!$A$1:$C$96,2)</f>
        <v>6143355</v>
      </c>
      <c r="F59" s="3">
        <f>VLOOKUP(A59,analysis!$A$1:$C$96,3)</f>
        <v>8464203</v>
      </c>
    </row>
    <row r="60" spans="1:6" x14ac:dyDescent="0.3">
      <c r="A60" t="s">
        <v>30</v>
      </c>
      <c r="B60" s="3">
        <f>VLOOKUP(A60,analysis!$A$1:$H$96,8,FALSE)</f>
        <v>1118.6000000000001</v>
      </c>
      <c r="C60" s="3">
        <f>RANK(B60,$B$2:$B$96)</f>
        <v>59</v>
      </c>
      <c r="E60" s="3">
        <f>VLOOKUP(A60,analysis!$A$1:$C$96,2)</f>
        <v>2775719</v>
      </c>
      <c r="F60" s="3">
        <f>VLOOKUP(A60,analysis!$A$1:$C$96,3)</f>
        <v>10356991</v>
      </c>
    </row>
    <row r="61" spans="1:6" x14ac:dyDescent="0.3">
      <c r="A61" t="s">
        <v>36</v>
      </c>
      <c r="B61" s="3">
        <f>VLOOKUP(A61,analysis!$A$1:$H$96,8,FALSE)</f>
        <v>1070.6000000000001</v>
      </c>
      <c r="C61" s="3">
        <f>RANK(B61,$B$2:$B$96)</f>
        <v>60</v>
      </c>
      <c r="E61" s="3">
        <f>VLOOKUP(A61,analysis!$A$1:$C$96,2)</f>
        <v>3747996</v>
      </c>
      <c r="F61" s="3">
        <f>VLOOKUP(A61,analysis!$A$1:$C$96,3)</f>
        <v>9314496</v>
      </c>
    </row>
    <row r="62" spans="1:6" x14ac:dyDescent="0.3">
      <c r="A62" t="s">
        <v>23</v>
      </c>
      <c r="B62" s="3">
        <f>VLOOKUP(A62,analysis!$A$1:$H$96,8,FALSE)</f>
        <v>985.8</v>
      </c>
      <c r="C62" s="3">
        <f>RANK(B62,$B$2:$B$96)</f>
        <v>61</v>
      </c>
      <c r="E62" s="3">
        <f>VLOOKUP(A62,analysis!$A$1:$C$96,2)</f>
        <v>2264183</v>
      </c>
      <c r="F62" s="3">
        <f>VLOOKUP(A62,analysis!$A$1:$C$96,3)</f>
        <v>10919112</v>
      </c>
    </row>
    <row r="63" spans="1:6" x14ac:dyDescent="0.3">
      <c r="A63" t="s">
        <v>55</v>
      </c>
      <c r="B63" s="3">
        <f>VLOOKUP(A63,analysis!$A$1:$H$96,8,FALSE)</f>
        <v>927.95999999999992</v>
      </c>
      <c r="C63" s="3">
        <f>RANK(B63,$B$2:$B$96)</f>
        <v>62</v>
      </c>
      <c r="E63" s="3">
        <f>VLOOKUP(A63,analysis!$A$1:$C$96,2)</f>
        <v>4641189</v>
      </c>
      <c r="F63" s="3">
        <f>VLOOKUP(A63,analysis!$A$1:$C$96,3)</f>
        <v>8593188</v>
      </c>
    </row>
    <row r="64" spans="1:6" x14ac:dyDescent="0.3">
      <c r="A64" t="s">
        <v>19</v>
      </c>
      <c r="B64" s="3">
        <f>VLOOKUP(A64,analysis!$A$1:$H$96,8,FALSE)</f>
        <v>923.22</v>
      </c>
      <c r="C64" s="3">
        <f>RANK(B64,$B$2:$B$96)</f>
        <v>63</v>
      </c>
      <c r="E64" s="3">
        <f>VLOOKUP(A64,analysis!$A$1:$C$96,2)</f>
        <v>1946527</v>
      </c>
      <c r="F64" s="3">
        <f>VLOOKUP(A64,analysis!$A$1:$C$96,3)</f>
        <v>11164215</v>
      </c>
    </row>
    <row r="65" spans="1:6" x14ac:dyDescent="0.3">
      <c r="A65" t="s">
        <v>35</v>
      </c>
      <c r="B65" s="3">
        <f>VLOOKUP(A65,analysis!$A$1:$H$96,8,FALSE)</f>
        <v>919.62000000000012</v>
      </c>
      <c r="C65" s="3">
        <f>RANK(B65,$B$2:$B$96)</f>
        <v>64</v>
      </c>
      <c r="E65" s="3">
        <f>VLOOKUP(A65,analysis!$A$1:$C$96,2)</f>
        <v>3719900</v>
      </c>
      <c r="F65" s="3">
        <f>VLOOKUP(A65,analysis!$A$1:$C$96,3)</f>
        <v>9074995</v>
      </c>
    </row>
    <row r="66" spans="1:6" x14ac:dyDescent="0.3">
      <c r="A66" t="s">
        <v>11</v>
      </c>
      <c r="B66" s="3">
        <f>VLOOKUP(A66,analysis!$A$1:$H$96,8,FALSE)</f>
        <v>877.56999999999982</v>
      </c>
      <c r="C66" s="3">
        <f>RANK(B66,$B$2:$B$96)</f>
        <v>65</v>
      </c>
      <c r="E66" s="3">
        <f>VLOOKUP(A66,analysis!$A$1:$C$96,2)</f>
        <v>1404180</v>
      </c>
      <c r="F66" s="3">
        <f>VLOOKUP(A66,analysis!$A$1:$C$96,3)</f>
        <v>13319643</v>
      </c>
    </row>
    <row r="67" spans="1:6" x14ac:dyDescent="0.3">
      <c r="A67" t="s">
        <v>24</v>
      </c>
      <c r="B67" s="3">
        <f>VLOOKUP(A67,analysis!$A$1:$H$96,8,FALSE)</f>
        <v>792.12</v>
      </c>
      <c r="C67" s="3">
        <f>RANK(B67,$B$2:$B$96)</f>
        <v>66</v>
      </c>
      <c r="E67" s="3">
        <f>VLOOKUP(A67,analysis!$A$1:$C$96,2)</f>
        <v>2349397</v>
      </c>
      <c r="F67" s="3">
        <f>VLOOKUP(A67,analysis!$A$1:$C$96,3)</f>
        <v>9737463</v>
      </c>
    </row>
    <row r="68" spans="1:6" x14ac:dyDescent="0.3">
      <c r="A68" t="s">
        <v>38</v>
      </c>
      <c r="B68" s="3">
        <f>VLOOKUP(A68,analysis!$A$1:$H$96,8,FALSE)</f>
        <v>765</v>
      </c>
      <c r="C68" s="3">
        <f>RANK(B68,$B$2:$B$96)</f>
        <v>67</v>
      </c>
      <c r="E68" s="3">
        <f>VLOOKUP(A68,analysis!$A$1:$C$96,2)</f>
        <v>3831240</v>
      </c>
      <c r="F68" s="3">
        <f>VLOOKUP(A68,analysis!$A$1:$C$96,3)</f>
        <v>8681257</v>
      </c>
    </row>
    <row r="69" spans="1:6" x14ac:dyDescent="0.3">
      <c r="A69" t="s">
        <v>93</v>
      </c>
      <c r="B69" s="3">
        <f>VLOOKUP(A69,analysis!$A$1:$H$96,8,FALSE)</f>
        <v>687.6</v>
      </c>
      <c r="C69" s="3">
        <f>RANK(B69,$B$2:$B$96)</f>
        <v>68</v>
      </c>
      <c r="E69" s="3">
        <f>VLOOKUP(A69,analysis!$A$1:$C$96,2)</f>
        <v>1757457</v>
      </c>
      <c r="F69" s="3">
        <f>VLOOKUP(A69,analysis!$A$1:$C$96,3)</f>
        <v>10940573</v>
      </c>
    </row>
    <row r="70" spans="1:6" x14ac:dyDescent="0.3">
      <c r="A70" t="s">
        <v>52</v>
      </c>
      <c r="B70" s="3">
        <f>VLOOKUP(A70,analysis!$A$1:$H$96,8,FALSE)</f>
        <v>630.70000000000005</v>
      </c>
      <c r="C70" s="3">
        <f>RANK(B70,$B$2:$B$96)</f>
        <v>69</v>
      </c>
      <c r="E70" s="3">
        <f>VLOOKUP(A70,analysis!$A$1:$C$96,2)</f>
        <v>4448558</v>
      </c>
      <c r="F70" s="3">
        <f>VLOOKUP(A70,analysis!$A$1:$C$96,3)</f>
        <v>8201013</v>
      </c>
    </row>
    <row r="71" spans="1:6" x14ac:dyDescent="0.3">
      <c r="A71" t="s">
        <v>12</v>
      </c>
      <c r="B71" s="3">
        <f>VLOOKUP(A71,analysis!$A$1:$H$96,8,FALSE)</f>
        <v>615.48</v>
      </c>
      <c r="C71" s="3">
        <f>RANK(B71,$B$2:$B$96)</f>
        <v>70</v>
      </c>
      <c r="E71" s="3">
        <f>VLOOKUP(A71,analysis!$A$1:$C$96,2)</f>
        <v>1472845</v>
      </c>
      <c r="F71" s="3">
        <f>VLOOKUP(A71,analysis!$A$1:$C$96,3)</f>
        <v>11377581</v>
      </c>
    </row>
    <row r="72" spans="1:6" x14ac:dyDescent="0.3">
      <c r="A72" t="s">
        <v>32</v>
      </c>
      <c r="B72" s="3">
        <f>VLOOKUP(A72,analysis!$A$1:$H$96,8,FALSE)</f>
        <v>613.70000000000005</v>
      </c>
      <c r="C72" s="3">
        <f>RANK(B72,$B$2:$B$96)</f>
        <v>71</v>
      </c>
      <c r="E72" s="3">
        <f>VLOOKUP(A72,analysis!$A$1:$C$96,2)</f>
        <v>3075077</v>
      </c>
      <c r="F72" s="3">
        <f>VLOOKUP(A72,analysis!$A$1:$C$96,3)</f>
        <v>8652496</v>
      </c>
    </row>
    <row r="73" spans="1:6" x14ac:dyDescent="0.3">
      <c r="A73" t="s">
        <v>10</v>
      </c>
      <c r="B73" s="3">
        <f>VLOOKUP(A73,analysis!$A$1:$H$96,8,FALSE)</f>
        <v>547.56000000000006</v>
      </c>
      <c r="C73" s="3">
        <f>RANK(B73,$B$2:$B$96)</f>
        <v>72</v>
      </c>
      <c r="E73" s="3">
        <f>VLOOKUP(A73,analysis!$A$1:$C$96,2)</f>
        <v>1269313</v>
      </c>
      <c r="F73" s="3">
        <f>VLOOKUP(A73,analysis!$A$1:$C$96,3)</f>
        <v>11588003</v>
      </c>
    </row>
    <row r="74" spans="1:6" x14ac:dyDescent="0.3">
      <c r="A74" t="s">
        <v>40</v>
      </c>
      <c r="B74" s="3">
        <f>VLOOKUP(A74,analysis!$A$1:$H$96,8,FALSE)</f>
        <v>534.69000000000005</v>
      </c>
      <c r="C74" s="3">
        <f>RANK(B74,$B$2:$B$96)</f>
        <v>73</v>
      </c>
      <c r="E74" s="3">
        <f>VLOOKUP(A74,analysis!$A$1:$C$96,2)</f>
        <v>3919064</v>
      </c>
      <c r="F74" s="3">
        <f>VLOOKUP(A74,analysis!$A$1:$C$96,3)</f>
        <v>8305300</v>
      </c>
    </row>
    <row r="75" spans="1:6" x14ac:dyDescent="0.3">
      <c r="A75" t="s">
        <v>26</v>
      </c>
      <c r="B75" s="3">
        <f>VLOOKUP(A75,analysis!$A$1:$H$96,8,FALSE)</f>
        <v>472.23</v>
      </c>
      <c r="C75" s="3">
        <f>RANK(B75,$B$2:$B$96)</f>
        <v>74</v>
      </c>
      <c r="E75" s="3">
        <f>VLOOKUP(A75,analysis!$A$1:$C$96,2)</f>
        <v>2736811</v>
      </c>
      <c r="F75" s="3">
        <f>VLOOKUP(A75,analysis!$A$1:$C$96,3)</f>
        <v>8638981</v>
      </c>
    </row>
    <row r="76" spans="1:6" x14ac:dyDescent="0.3">
      <c r="A76" t="s">
        <v>20</v>
      </c>
      <c r="B76" s="3">
        <f>VLOOKUP(A76,analysis!$A$1:$H$96,8,FALSE)</f>
        <v>446.94000000000005</v>
      </c>
      <c r="C76" s="3">
        <f>RANK(B76,$B$2:$B$96)</f>
        <v>75</v>
      </c>
      <c r="E76" s="3">
        <f>VLOOKUP(A76,analysis!$A$1:$C$96,2)</f>
        <v>2061656</v>
      </c>
      <c r="F76" s="3">
        <f>VLOOKUP(A76,analysis!$A$1:$C$96,3)</f>
        <v>8699159</v>
      </c>
    </row>
    <row r="77" spans="1:6" x14ac:dyDescent="0.3">
      <c r="A77" t="s">
        <v>54</v>
      </c>
      <c r="B77" s="3">
        <f>VLOOKUP(A77,analysis!$A$1:$H$96,8,FALSE)</f>
        <v>388.71000000000004</v>
      </c>
      <c r="C77" s="3">
        <f>RANK(B77,$B$2:$B$96)</f>
        <v>76</v>
      </c>
      <c r="E77" s="3">
        <f>VLOOKUP(A77,analysis!$A$1:$C$96,2)</f>
        <v>4576300</v>
      </c>
      <c r="F77" s="3">
        <f>VLOOKUP(A77,analysis!$A$1:$C$96,3)</f>
        <v>7555440</v>
      </c>
    </row>
    <row r="78" spans="1:6" x14ac:dyDescent="0.3">
      <c r="A78" t="s">
        <v>7</v>
      </c>
      <c r="B78" s="3">
        <f>VLOOKUP(A78,analysis!$A$1:$H$96,8,FALSE)</f>
        <v>385.53999999999996</v>
      </c>
      <c r="C78" s="3">
        <f>RANK(B78,$B$2:$B$96)</f>
        <v>77</v>
      </c>
      <c r="E78" s="3">
        <f>VLOOKUP(A78,analysis!$A$1:$C$96,2)</f>
        <v>935911</v>
      </c>
      <c r="F78" s="3">
        <f>VLOOKUP(A78,analysis!$A$1:$C$96,3)</f>
        <v>12180355</v>
      </c>
    </row>
    <row r="79" spans="1:6" x14ac:dyDescent="0.3">
      <c r="A79" t="s">
        <v>44</v>
      </c>
      <c r="B79" s="3">
        <f>VLOOKUP(A79,analysis!$A$1:$H$96,8,FALSE)</f>
        <v>370</v>
      </c>
      <c r="C79" s="3">
        <f>RANK(B79,$B$2:$B$96)</f>
        <v>78</v>
      </c>
      <c r="E79" s="3">
        <f>VLOOKUP(A79,analysis!$A$1:$C$96,2)</f>
        <v>4017933</v>
      </c>
      <c r="F79" s="3">
        <f>VLOOKUP(A79,analysis!$A$1:$C$96,3)</f>
        <v>7876160</v>
      </c>
    </row>
    <row r="80" spans="1:6" x14ac:dyDescent="0.3">
      <c r="A80" t="s">
        <v>13</v>
      </c>
      <c r="B80" s="3">
        <f>VLOOKUP(A80,analysis!$A$1:$H$96,8,FALSE)</f>
        <v>361.12</v>
      </c>
      <c r="C80" s="3">
        <f>RANK(B80,$B$2:$B$96)</f>
        <v>79</v>
      </c>
      <c r="E80" s="3">
        <f>VLOOKUP(A80,analysis!$A$1:$C$96,2)</f>
        <v>1552907</v>
      </c>
      <c r="F80" s="3">
        <f>VLOOKUP(A80,analysis!$A$1:$C$96,3)</f>
        <v>9083791</v>
      </c>
    </row>
    <row r="81" spans="1:6" x14ac:dyDescent="0.3">
      <c r="A81" t="s">
        <v>92</v>
      </c>
      <c r="B81" s="3">
        <f>VLOOKUP(A81,analysis!$A$1:$H$96,8,FALSE)</f>
        <v>338.14</v>
      </c>
      <c r="C81" s="3">
        <f>RANK(B81,$B$2:$B$96)</f>
        <v>80</v>
      </c>
      <c r="E81" s="3">
        <f>VLOOKUP(A81,analysis!$A$1:$C$96,2)</f>
        <v>1120614</v>
      </c>
      <c r="F81" s="3">
        <f>VLOOKUP(A81,analysis!$A$1:$C$96,3)</f>
        <v>10356025</v>
      </c>
    </row>
    <row r="82" spans="1:6" x14ac:dyDescent="0.3">
      <c r="A82" t="s">
        <v>29</v>
      </c>
      <c r="B82" s="3">
        <f>VLOOKUP(A82,analysis!$A$1:$H$96,8,FALSE)</f>
        <v>312.55000000000007</v>
      </c>
      <c r="C82" s="3">
        <f>RANK(B82,$B$2:$B$96)</f>
        <v>81</v>
      </c>
      <c r="E82" s="3">
        <f>VLOOKUP(A82,analysis!$A$1:$C$96,2)</f>
        <v>2775200</v>
      </c>
      <c r="F82" s="3">
        <f>VLOOKUP(A82,analysis!$A$1:$C$96,3)</f>
        <v>8073053</v>
      </c>
    </row>
    <row r="83" spans="1:6" x14ac:dyDescent="0.3">
      <c r="A83" t="s">
        <v>50</v>
      </c>
      <c r="B83" s="3">
        <f>VLOOKUP(A83,analysis!$A$1:$H$96,8,FALSE)</f>
        <v>304.21999999999997</v>
      </c>
      <c r="C83" s="3">
        <f>RANK(B83,$B$2:$B$96)</f>
        <v>82</v>
      </c>
      <c r="E83" s="3">
        <f>VLOOKUP(A83,analysis!$A$1:$C$96,2)</f>
        <v>4404572</v>
      </c>
      <c r="F83" s="3">
        <f>VLOOKUP(A83,analysis!$A$1:$C$96,3)</f>
        <v>7522797</v>
      </c>
    </row>
    <row r="84" spans="1:6" x14ac:dyDescent="0.3">
      <c r="A84" t="s">
        <v>4</v>
      </c>
      <c r="B84" s="3">
        <f>VLOOKUP(A84,analysis!$A$1:$H$96,8,FALSE)</f>
        <v>205.38</v>
      </c>
      <c r="C84" s="3">
        <f>RANK(B84,$B$2:$B$96)</f>
        <v>83</v>
      </c>
      <c r="E84" s="3">
        <f>VLOOKUP(A84,analysis!$A$1:$C$96,2)</f>
        <v>455533</v>
      </c>
      <c r="F84" s="3">
        <f>VLOOKUP(A84,analysis!$A$1:$C$96,3)</f>
        <v>11814326</v>
      </c>
    </row>
    <row r="85" spans="1:6" x14ac:dyDescent="0.3">
      <c r="A85" t="s">
        <v>6</v>
      </c>
      <c r="B85" s="3">
        <f>VLOOKUP(A85,analysis!$A$1:$H$96,8,FALSE)</f>
        <v>140.49</v>
      </c>
      <c r="C85" s="3">
        <f>RANK(B85,$B$2:$B$96)</f>
        <v>84</v>
      </c>
      <c r="E85" s="3">
        <f>VLOOKUP(A85,analysis!$A$1:$C$96,2)</f>
        <v>774862</v>
      </c>
      <c r="F85" s="3">
        <f>VLOOKUP(A85,analysis!$A$1:$C$96,3)</f>
        <v>8857105</v>
      </c>
    </row>
    <row r="86" spans="1:6" x14ac:dyDescent="0.3">
      <c r="A86" t="s">
        <v>14</v>
      </c>
      <c r="B86" s="3">
        <f>VLOOKUP(A86,analysis!$A$1:$H$96,8,FALSE)</f>
        <v>135.15</v>
      </c>
      <c r="C86" s="3">
        <f>RANK(B86,$B$2:$B$96)</f>
        <v>85</v>
      </c>
      <c r="E86" s="3">
        <f>VLOOKUP(A86,analysis!$A$1:$C$96,2)</f>
        <v>1554098</v>
      </c>
      <c r="F86" s="3">
        <f>VLOOKUP(A86,analysis!$A$1:$C$96,3)</f>
        <v>7990739</v>
      </c>
    </row>
    <row r="87" spans="1:6" x14ac:dyDescent="0.3">
      <c r="A87" t="s">
        <v>27</v>
      </c>
      <c r="B87" s="3">
        <f>VLOOKUP(A87,analysis!$A$1:$H$96,8,FALSE)</f>
        <v>129.36000000000001</v>
      </c>
      <c r="C87" s="3">
        <f>RANK(B87,$B$2:$B$96)</f>
        <v>86</v>
      </c>
      <c r="E87" s="3">
        <f>VLOOKUP(A87,analysis!$A$1:$C$96,2)</f>
        <v>2754992</v>
      </c>
      <c r="F87" s="3">
        <f>VLOOKUP(A87,analysis!$A$1:$C$96,3)</f>
        <v>6670513</v>
      </c>
    </row>
    <row r="88" spans="1:6" x14ac:dyDescent="0.3">
      <c r="A88" t="s">
        <v>5</v>
      </c>
      <c r="B88" s="3">
        <f>VLOOKUP(A88,analysis!$A$1:$H$96,8,FALSE)</f>
        <v>112.36</v>
      </c>
      <c r="C88" s="3">
        <f>RANK(B88,$B$2:$B$96)</f>
        <v>87</v>
      </c>
      <c r="E88" s="3">
        <f>VLOOKUP(A88,analysis!$A$1:$C$96,2)</f>
        <v>620681</v>
      </c>
      <c r="F88" s="3">
        <f>VLOOKUP(A88,analysis!$A$1:$C$96,3)</f>
        <v>8798022</v>
      </c>
    </row>
    <row r="89" spans="1:6" x14ac:dyDescent="0.3">
      <c r="A89" t="s">
        <v>8</v>
      </c>
      <c r="B89" s="3">
        <f>VLOOKUP(A89,analysis!$A$1:$H$96,8,FALSE)</f>
        <v>107.95</v>
      </c>
      <c r="C89" s="3">
        <f>RANK(B89,$B$2:$B$96)</f>
        <v>88</v>
      </c>
      <c r="E89" s="3">
        <f>VLOOKUP(A89,analysis!$A$1:$C$96,2)</f>
        <v>938217</v>
      </c>
      <c r="F89" s="3">
        <f>VLOOKUP(A89,analysis!$A$1:$C$96,3)</f>
        <v>8392844</v>
      </c>
    </row>
    <row r="90" spans="1:6" x14ac:dyDescent="0.3">
      <c r="A90" t="s">
        <v>2</v>
      </c>
      <c r="B90" s="3">
        <f>VLOOKUP(A90,analysis!$A$1:$H$96,8,FALSE)</f>
        <v>100.38</v>
      </c>
      <c r="C90" s="3">
        <f>RANK(B90,$B$2:$B$96)</f>
        <v>89</v>
      </c>
      <c r="E90" s="3">
        <f>VLOOKUP(A90,analysis!$A$1:$C$96,2)</f>
        <v>254963</v>
      </c>
      <c r="F90" s="3">
        <f>VLOOKUP(A90,analysis!$A$1:$C$96,3)</f>
        <v>11647735</v>
      </c>
    </row>
    <row r="91" spans="1:6" x14ac:dyDescent="0.3">
      <c r="A91" t="s">
        <v>1</v>
      </c>
      <c r="B91" s="3">
        <f>VLOOKUP(A91,analysis!$A$1:$H$96,8,FALSE)</f>
        <v>98.899999999999991</v>
      </c>
      <c r="C91" s="3">
        <f>RANK(B91,$B$2:$B$96)</f>
        <v>90</v>
      </c>
      <c r="E91" s="3">
        <f>VLOOKUP(A91,analysis!$A$1:$C$96,2)</f>
        <v>205800</v>
      </c>
      <c r="F91" s="3">
        <f>VLOOKUP(A91,analysis!$A$1:$C$96,3)</f>
        <v>22201430</v>
      </c>
    </row>
    <row r="92" spans="1:6" x14ac:dyDescent="0.3">
      <c r="A92" t="s">
        <v>15</v>
      </c>
      <c r="B92" s="3">
        <f>VLOOKUP(A92,analysis!$A$1:$H$96,8,FALSE)</f>
        <v>52.7</v>
      </c>
      <c r="C92" s="3">
        <f>RANK(B92,$B$2:$B$96)</f>
        <v>91</v>
      </c>
      <c r="E92" s="3">
        <f>VLOOKUP(A92,analysis!$A$1:$C$96,2)</f>
        <v>1672833</v>
      </c>
      <c r="F92" s="3">
        <f>VLOOKUP(A92,analysis!$A$1:$C$96,3)</f>
        <v>6460817</v>
      </c>
    </row>
    <row r="93" spans="1:6" x14ac:dyDescent="0.3">
      <c r="A93" t="s">
        <v>16</v>
      </c>
      <c r="B93" s="3">
        <f>VLOOKUP(A93,analysis!$A$1:$H$96,8,FALSE)</f>
        <v>40.110000000000007</v>
      </c>
      <c r="C93" s="3">
        <f>RANK(B93,$B$2:$B$96)</f>
        <v>92</v>
      </c>
      <c r="E93" s="3">
        <f>VLOOKUP(A93,analysis!$A$1:$C$96,2)</f>
        <v>1805208</v>
      </c>
      <c r="F93" s="3">
        <f>VLOOKUP(A93,analysis!$A$1:$C$96,3)</f>
        <v>6254387</v>
      </c>
    </row>
    <row r="94" spans="1:6" x14ac:dyDescent="0.3">
      <c r="A94" t="s">
        <v>9</v>
      </c>
      <c r="B94" s="3">
        <f>VLOOKUP(A94,analysis!$A$1:$H$96,8,FALSE)</f>
        <v>9.5</v>
      </c>
      <c r="C94" s="3">
        <f>RANK(B94,$B$2:$B$96)</f>
        <v>93</v>
      </c>
      <c r="E94" s="3">
        <f>VLOOKUP(A94,analysis!$A$1:$C$96,2)</f>
        <v>998281</v>
      </c>
      <c r="F94" s="3">
        <f>VLOOKUP(A94,analysis!$A$1:$C$96,3)</f>
        <v>6167119</v>
      </c>
    </row>
    <row r="95" spans="1:6" x14ac:dyDescent="0.3">
      <c r="A95" t="s">
        <v>3</v>
      </c>
      <c r="B95" s="3">
        <f>VLOOKUP(A95,analysis!$A$1:$H$96,8,FALSE)</f>
        <v>0</v>
      </c>
      <c r="C95" s="3">
        <f>RANK(B95,$B$2:$B$96)</f>
        <v>94</v>
      </c>
      <c r="E95" s="3">
        <f>VLOOKUP(A95,analysis!$A$1:$C$96,2)</f>
        <v>285550</v>
      </c>
      <c r="F95" s="3">
        <f>VLOOKUP(A95,analysis!$A$1:$C$96,3)</f>
        <v>6003695</v>
      </c>
    </row>
    <row r="96" spans="1:6" x14ac:dyDescent="0.3">
      <c r="A96" t="s">
        <v>0</v>
      </c>
      <c r="B96" s="3">
        <f>VLOOKUP(A96,analysis!$A$1:$H$96,8,FALSE)</f>
        <v>0</v>
      </c>
      <c r="C96" s="3">
        <f>RANK(B96,$B$2:$B$96)</f>
        <v>94</v>
      </c>
      <c r="E96" s="3">
        <f>VLOOKUP(A96,analysis!$A$1:$C$96,2)</f>
        <v>196436</v>
      </c>
      <c r="F96" s="3">
        <f>VLOOKUP(A96,analysis!$A$1:$C$96,3)</f>
        <v>9281024</v>
      </c>
    </row>
  </sheetData>
  <sortState xmlns:xlrd2="http://schemas.microsoft.com/office/spreadsheetml/2017/richdata2" ref="A2:C191">
    <sortCondition ref="C2:C19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raw_20260609_185140</vt:lpstr>
      <vt:lpstr>raw_20260609_185943</vt:lpstr>
      <vt:lpstr>analysis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Moster</dc:creator>
  <cp:lastModifiedBy>Eric Moster</cp:lastModifiedBy>
  <dcterms:created xsi:type="dcterms:W3CDTF">2026-06-09T23:00:00Z</dcterms:created>
  <dcterms:modified xsi:type="dcterms:W3CDTF">2026-06-09T23:23:48Z</dcterms:modified>
</cp:coreProperties>
</file>