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ersonal\last-war-tools\streamlit-dashboard\"/>
    </mc:Choice>
  </mc:AlternateContent>
  <xr:revisionPtr revIDLastSave="0" documentId="13_ncr:1_{3E6CF795-F1AF-47F3-9336-6F20BC293676}" xr6:coauthVersionLast="47" xr6:coauthVersionMax="47" xr10:uidLastSave="{00000000-0000-0000-0000-000000000000}"/>
  <bookViews>
    <workbookView xWindow="11208" yWindow="5988" windowWidth="31620" windowHeight="19884" activeTab="2" xr2:uid="{8A76F465-58BB-49A3-B977-DD0827CA6734}"/>
  </bookViews>
  <sheets>
    <sheet name="vs (thru Wed 740pm)" sheetId="1" r:id="rId1"/>
    <sheet name="power" sheetId="2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1" i="3" l="1"/>
  <c r="B101" i="3"/>
  <c r="C100" i="3"/>
  <c r="B100" i="3"/>
  <c r="C99" i="3"/>
  <c r="B99" i="3"/>
  <c r="C98" i="3"/>
  <c r="B98" i="3"/>
  <c r="C97" i="3"/>
  <c r="B97" i="3"/>
  <c r="C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F63" i="3" s="1"/>
  <c r="B3" i="3"/>
  <c r="C2" i="3"/>
  <c r="B2" i="3"/>
  <c r="E82" i="3" l="1"/>
  <c r="E80" i="3"/>
  <c r="E31" i="3"/>
  <c r="E79" i="3"/>
  <c r="E19" i="3"/>
  <c r="E20" i="3"/>
  <c r="F2" i="3"/>
  <c r="F33" i="3"/>
  <c r="F83" i="3"/>
  <c r="F32" i="3"/>
  <c r="F66" i="3"/>
  <c r="F96" i="3"/>
  <c r="F65" i="3"/>
  <c r="F15" i="3"/>
  <c r="F17" i="3"/>
  <c r="F79" i="3"/>
  <c r="H79" i="3" s="1"/>
  <c r="F80" i="3"/>
  <c r="H80" i="3" s="1"/>
  <c r="F81" i="3"/>
  <c r="F18" i="3"/>
  <c r="F31" i="3"/>
  <c r="H31" i="3" s="1"/>
  <c r="F95" i="3"/>
  <c r="F16" i="3"/>
  <c r="E2" i="3"/>
  <c r="H2" i="3" s="1"/>
  <c r="E63" i="3"/>
  <c r="H63" i="3" s="1"/>
  <c r="E16" i="3"/>
  <c r="H16" i="3" s="1"/>
  <c r="E64" i="3"/>
  <c r="E18" i="3"/>
  <c r="H18" i="3" s="1"/>
  <c r="E65" i="3"/>
  <c r="E50" i="3"/>
  <c r="E66" i="3"/>
  <c r="E96" i="3"/>
  <c r="H96" i="3" s="1"/>
  <c r="E95" i="3"/>
  <c r="E32" i="3"/>
  <c r="E17" i="3"/>
  <c r="H17" i="3" s="1"/>
  <c r="E33" i="3"/>
  <c r="E34" i="3"/>
  <c r="E3" i="3"/>
  <c r="E47" i="3"/>
  <c r="E48" i="3"/>
  <c r="E60" i="3"/>
  <c r="E49" i="3"/>
  <c r="E15" i="3"/>
  <c r="E81" i="3"/>
  <c r="H81" i="3" s="1"/>
  <c r="F49" i="3"/>
  <c r="F34" i="3"/>
  <c r="F47" i="3"/>
  <c r="F64" i="3"/>
  <c r="F48" i="3"/>
  <c r="F50" i="3"/>
  <c r="F94" i="3"/>
  <c r="E53" i="3"/>
  <c r="E69" i="3"/>
  <c r="E85" i="3"/>
  <c r="F67" i="3"/>
  <c r="E4" i="3"/>
  <c r="F53" i="3"/>
  <c r="E84" i="3"/>
  <c r="E6" i="3"/>
  <c r="E22" i="3"/>
  <c r="E38" i="3"/>
  <c r="E54" i="3"/>
  <c r="E70" i="3"/>
  <c r="E86" i="3"/>
  <c r="E67" i="3"/>
  <c r="E35" i="3"/>
  <c r="F3" i="3"/>
  <c r="E68" i="3"/>
  <c r="F69" i="3"/>
  <c r="F36" i="3"/>
  <c r="F54" i="3"/>
  <c r="E71" i="3"/>
  <c r="E87" i="3"/>
  <c r="F7" i="3"/>
  <c r="F23" i="3"/>
  <c r="F39" i="3"/>
  <c r="F55" i="3"/>
  <c r="F71" i="3"/>
  <c r="F87" i="3"/>
  <c r="E51" i="3"/>
  <c r="E36" i="3"/>
  <c r="E88" i="3"/>
  <c r="E21" i="3"/>
  <c r="E56" i="3"/>
  <c r="F8" i="3"/>
  <c r="F24" i="3"/>
  <c r="F40" i="3"/>
  <c r="F56" i="3"/>
  <c r="F72" i="3"/>
  <c r="F88" i="3"/>
  <c r="F85" i="3"/>
  <c r="E55" i="3"/>
  <c r="E89" i="3"/>
  <c r="F19" i="3"/>
  <c r="F21" i="3"/>
  <c r="F25" i="3"/>
  <c r="F41" i="3"/>
  <c r="F57" i="3"/>
  <c r="F73" i="3"/>
  <c r="F89" i="3"/>
  <c r="F84" i="3"/>
  <c r="F68" i="3"/>
  <c r="E72" i="3"/>
  <c r="F82" i="3"/>
  <c r="H82" i="3" s="1"/>
  <c r="E83" i="3"/>
  <c r="E90" i="3"/>
  <c r="E41" i="3"/>
  <c r="F5" i="3"/>
  <c r="E23" i="3"/>
  <c r="F9" i="3"/>
  <c r="E43" i="3"/>
  <c r="F6" i="3"/>
  <c r="E39" i="3"/>
  <c r="E57" i="3"/>
  <c r="E10" i="3"/>
  <c r="E59" i="3"/>
  <c r="F20" i="3"/>
  <c r="E5" i="3"/>
  <c r="F22" i="3"/>
  <c r="F86" i="3"/>
  <c r="E58" i="3"/>
  <c r="E91" i="3"/>
  <c r="F59" i="3"/>
  <c r="E92" i="3"/>
  <c r="E13" i="3"/>
  <c r="E29" i="3"/>
  <c r="E45" i="3"/>
  <c r="E61" i="3"/>
  <c r="E77" i="3"/>
  <c r="E93" i="3"/>
  <c r="F35" i="3"/>
  <c r="E52" i="3"/>
  <c r="F52" i="3"/>
  <c r="E24" i="3"/>
  <c r="E25" i="3"/>
  <c r="E74" i="3"/>
  <c r="F26" i="3"/>
  <c r="F90" i="3"/>
  <c r="E11" i="3"/>
  <c r="F11" i="3"/>
  <c r="F91" i="3"/>
  <c r="E12" i="3"/>
  <c r="E76" i="3"/>
  <c r="F28" i="3"/>
  <c r="F92" i="3"/>
  <c r="F13" i="3"/>
  <c r="F29" i="3"/>
  <c r="F45" i="3"/>
  <c r="F61" i="3"/>
  <c r="F77" i="3"/>
  <c r="F93" i="3"/>
  <c r="F51" i="3"/>
  <c r="F37" i="3"/>
  <c r="F70" i="3"/>
  <c r="E40" i="3"/>
  <c r="E73" i="3"/>
  <c r="E26" i="3"/>
  <c r="F42" i="3"/>
  <c r="E75" i="3"/>
  <c r="F27" i="3"/>
  <c r="F75" i="3"/>
  <c r="E44" i="3"/>
  <c r="F44" i="3"/>
  <c r="E14" i="3"/>
  <c r="E30" i="3"/>
  <c r="E46" i="3"/>
  <c r="E62" i="3"/>
  <c r="E78" i="3"/>
  <c r="E94" i="3"/>
  <c r="F4" i="3"/>
  <c r="E37" i="3"/>
  <c r="F38" i="3"/>
  <c r="E7" i="3"/>
  <c r="E8" i="3"/>
  <c r="E9" i="3"/>
  <c r="E42" i="3"/>
  <c r="F10" i="3"/>
  <c r="F58" i="3"/>
  <c r="F74" i="3"/>
  <c r="E27" i="3"/>
  <c r="F43" i="3"/>
  <c r="E28" i="3"/>
  <c r="F12" i="3"/>
  <c r="F60" i="3"/>
  <c r="F76" i="3"/>
  <c r="F14" i="3"/>
  <c r="F30" i="3"/>
  <c r="F46" i="3"/>
  <c r="F62" i="3"/>
  <c r="F78" i="3"/>
  <c r="H19" i="3" l="1"/>
  <c r="H20" i="3"/>
  <c r="H65" i="3"/>
  <c r="H15" i="3"/>
  <c r="H83" i="3"/>
  <c r="H37" i="3"/>
  <c r="H33" i="3"/>
  <c r="H66" i="3"/>
  <c r="H64" i="3"/>
  <c r="H32" i="3"/>
  <c r="H95" i="3"/>
  <c r="H23" i="3"/>
  <c r="H50" i="3"/>
  <c r="H8" i="3"/>
  <c r="H43" i="3"/>
  <c r="H84" i="3"/>
  <c r="H60" i="3"/>
  <c r="H47" i="3"/>
  <c r="H34" i="3"/>
  <c r="H49" i="3"/>
  <c r="H3" i="3"/>
  <c r="H48" i="3"/>
  <c r="H58" i="3"/>
  <c r="H28" i="3"/>
  <c r="H10" i="3"/>
  <c r="H7" i="3"/>
  <c r="H76" i="3"/>
  <c r="H74" i="3"/>
  <c r="H77" i="3"/>
  <c r="H67" i="3"/>
  <c r="H61" i="3"/>
  <c r="H86" i="3"/>
  <c r="H75" i="3"/>
  <c r="H45" i="3"/>
  <c r="H70" i="3"/>
  <c r="H24" i="3"/>
  <c r="H26" i="3"/>
  <c r="H13" i="3"/>
  <c r="H89" i="3"/>
  <c r="H38" i="3"/>
  <c r="H94" i="3"/>
  <c r="H29" i="3"/>
  <c r="H92" i="3"/>
  <c r="H55" i="3"/>
  <c r="H22" i="3"/>
  <c r="H93" i="3"/>
  <c r="H40" i="3"/>
  <c r="H6" i="3"/>
  <c r="H11" i="3"/>
  <c r="H41" i="3"/>
  <c r="H90" i="3"/>
  <c r="H87" i="3"/>
  <c r="H71" i="3"/>
  <c r="H78" i="3"/>
  <c r="H62" i="3"/>
  <c r="H25" i="3"/>
  <c r="H72" i="3"/>
  <c r="H9" i="3"/>
  <c r="H12" i="3"/>
  <c r="H46" i="3"/>
  <c r="H30" i="3"/>
  <c r="H14" i="3"/>
  <c r="H52" i="3"/>
  <c r="H68" i="3"/>
  <c r="H44" i="3"/>
  <c r="H35" i="3"/>
  <c r="H54" i="3"/>
  <c r="H73" i="3"/>
  <c r="H4" i="3"/>
  <c r="H5" i="3"/>
  <c r="H85" i="3"/>
  <c r="H91" i="3"/>
  <c r="H69" i="3"/>
  <c r="H59" i="3"/>
  <c r="H56" i="3"/>
  <c r="H53" i="3"/>
  <c r="H27" i="3"/>
  <c r="H57" i="3"/>
  <c r="H88" i="3"/>
  <c r="H21" i="3"/>
  <c r="H39" i="3"/>
  <c r="H36" i="3"/>
  <c r="H42" i="3"/>
  <c r="H51" i="3"/>
</calcChain>
</file>

<file path=xl/sharedStrings.xml><?xml version="1.0" encoding="utf-8"?>
<sst xmlns="http://schemas.openxmlformats.org/spreadsheetml/2006/main" count="308" uniqueCount="108">
  <si>
    <t>GhostSumit</t>
  </si>
  <si>
    <t>Acsoxg</t>
  </si>
  <si>
    <t>Thailand5139</t>
  </si>
  <si>
    <t>Mager100hari</t>
  </si>
  <si>
    <t>AlleyBoss129453</t>
  </si>
  <si>
    <t>Magykiall</t>
  </si>
  <si>
    <t>KittySiera</t>
  </si>
  <si>
    <t>maya7888</t>
  </si>
  <si>
    <t>anishverma21</t>
  </si>
  <si>
    <t>GlokkBoy</t>
  </si>
  <si>
    <t>Baby shark67</t>
  </si>
  <si>
    <t>Raven2222</t>
  </si>
  <si>
    <t>Pokachu</t>
  </si>
  <si>
    <t>Jcox787</t>
  </si>
  <si>
    <t>MrSingh2026</t>
  </si>
  <si>
    <t>fly in a blue dream</t>
  </si>
  <si>
    <t>PlugWon</t>
  </si>
  <si>
    <t>The big Bopper</t>
  </si>
  <si>
    <t>Skylsaa</t>
  </si>
  <si>
    <t>Whethackk</t>
  </si>
  <si>
    <t>GrannyT</t>
  </si>
  <si>
    <t>Babyy shark</t>
  </si>
  <si>
    <t>DarkSD03</t>
  </si>
  <si>
    <t>GlokkGirl</t>
  </si>
  <si>
    <t>xxRFRxx</t>
  </si>
  <si>
    <t>佐治挖泥</t>
  </si>
  <si>
    <t>라떼아이스2</t>
  </si>
  <si>
    <t>Fwaankmom</t>
  </si>
  <si>
    <t>Kavaz25</t>
  </si>
  <si>
    <t>Punsilly</t>
  </si>
  <si>
    <t>CyborgS88</t>
  </si>
  <si>
    <t>Chateez</t>
  </si>
  <si>
    <t>Lady 906090</t>
  </si>
  <si>
    <t>Visgimir</t>
  </si>
  <si>
    <t>Hokage IX</t>
  </si>
  <si>
    <t>Sulau</t>
  </si>
  <si>
    <t>Rogue Dahlia</t>
  </si>
  <si>
    <t>nDog cepLoK</t>
  </si>
  <si>
    <t>Vermutti</t>
  </si>
  <si>
    <t>Daryl Dixon1984</t>
  </si>
  <si>
    <t>GatorsALegend</t>
  </si>
  <si>
    <t>CalonPolwan</t>
  </si>
  <si>
    <t>NiEvelka</t>
  </si>
  <si>
    <t>RaYYY</t>
  </si>
  <si>
    <t>Padre007cf</t>
  </si>
  <si>
    <t>Crazy BuLL</t>
  </si>
  <si>
    <t>SkyInvalid</t>
  </si>
  <si>
    <t>Bonifacy lub Filemon</t>
  </si>
  <si>
    <t>RustyMaverick</t>
  </si>
  <si>
    <t>kaazmaa</t>
  </si>
  <si>
    <t>Medoosaa</t>
  </si>
  <si>
    <t>Janeway44</t>
  </si>
  <si>
    <t>Firekeeper01</t>
  </si>
  <si>
    <t>player_name</t>
  </si>
  <si>
    <t>rank</t>
  </si>
  <si>
    <t>Space   Ghost</t>
  </si>
  <si>
    <t>VS</t>
  </si>
  <si>
    <t>Power</t>
  </si>
  <si>
    <t>Composite</t>
  </si>
  <si>
    <t>score</t>
  </si>
  <si>
    <t>Ghostnova</t>
  </si>
  <si>
    <t>BEEEF</t>
  </si>
  <si>
    <t>Loganc77</t>
  </si>
  <si>
    <t>Eagle741</t>
  </si>
  <si>
    <t>crabasourus</t>
  </si>
  <si>
    <t>Tenente Calango</t>
  </si>
  <si>
    <t>Billtoppe</t>
  </si>
  <si>
    <t>anh minh 1991</t>
  </si>
  <si>
    <t>RhiannonVII</t>
  </si>
  <si>
    <t>Absolute Obam</t>
  </si>
  <si>
    <t>fortknox101</t>
  </si>
  <si>
    <t>KittyLea</t>
  </si>
  <si>
    <t>madsje</t>
  </si>
  <si>
    <t>BummbleB33</t>
  </si>
  <si>
    <t>Rembrandt00</t>
  </si>
  <si>
    <t>Indiemeows</t>
  </si>
  <si>
    <t>JojoBest</t>
  </si>
  <si>
    <t>BadApples</t>
  </si>
  <si>
    <t>nangst</t>
  </si>
  <si>
    <t>elite4titude2</t>
  </si>
  <si>
    <t>Star2933</t>
  </si>
  <si>
    <t>StraightFacts</t>
  </si>
  <si>
    <t>tinyocean</t>
  </si>
  <si>
    <t>Voodooo ranger</t>
  </si>
  <si>
    <t>NEP1ST0</t>
  </si>
  <si>
    <t>دهماني</t>
  </si>
  <si>
    <t>Z I M</t>
  </si>
  <si>
    <t>Sa D Boi</t>
  </si>
  <si>
    <t>GrimmKitty</t>
  </si>
  <si>
    <t>راغنار ر</t>
  </si>
  <si>
    <t>MinhTruong9x</t>
  </si>
  <si>
    <t>emmy118</t>
  </si>
  <si>
    <t>Berluscone95</t>
  </si>
  <si>
    <t>scotch mist</t>
  </si>
  <si>
    <t>Twinkletoes999</t>
  </si>
  <si>
    <t>Qarizma04</t>
  </si>
  <si>
    <t>Blackqq</t>
  </si>
  <si>
    <t>Arthur   Morgan</t>
  </si>
  <si>
    <t>Cursed Sick 2274</t>
  </si>
  <si>
    <t>Thundrct</t>
  </si>
  <si>
    <t>Shike Ryu</t>
  </si>
  <si>
    <t>ℌ Vee ℌ</t>
  </si>
  <si>
    <t>Ờ hố</t>
  </si>
  <si>
    <t>BulletBill2026</t>
  </si>
  <si>
    <t>M15k</t>
  </si>
  <si>
    <t>Jatin ind</t>
  </si>
  <si>
    <t>Player Name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</si>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</sst>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4" fontId="2" fillId="0" borderId="0" xfId="1" applyNumberFormat="1" applyFont="1" applyAlignment="1">
      <alignment horizontal="right"/>
    </xf>
    <xf numFmtId="164" fontId="0" fillId="0" borderId="0" xfId="1" applyNumberFormat="1" applyFont="1" applyAlignment="1">
      <alignment horizontal="right"/>
    </xf>
    <xf numFmtId="9" fontId="2" fillId="0" borderId="0" xfId="2" applyFont="1" applyAlignment="1">
      <alignment horizontal="right"/>
    </xf>
    <xf numFmtId="9" fontId="0" fillId="0" borderId="0" xfId="2" applyFont="1" applyAlignment="1">
      <alignment horizontal="right"/>
    </xf>
    <xf numFmtId="0" fontId="3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analysis!$E$2:$E$96</c:f>
              <c:numCache>
                <c:formatCode>0%</c:formatCode>
                <c:ptCount val="95"/>
                <c:pt idx="0">
                  <c:v>1</c:v>
                </c:pt>
                <c:pt idx="1">
                  <c:v>0.90400000000000003</c:v>
                </c:pt>
                <c:pt idx="2">
                  <c:v>0.80800000000000005</c:v>
                </c:pt>
                <c:pt idx="3">
                  <c:v>0.95699999999999996</c:v>
                </c:pt>
                <c:pt idx="4">
                  <c:v>0.77600000000000002</c:v>
                </c:pt>
                <c:pt idx="5">
                  <c:v>0.627</c:v>
                </c:pt>
                <c:pt idx="6">
                  <c:v>0.41399999999999998</c:v>
                </c:pt>
                <c:pt idx="7">
                  <c:v>0.60599999999999998</c:v>
                </c:pt>
                <c:pt idx="8">
                  <c:v>0.96799999999999997</c:v>
                </c:pt>
                <c:pt idx="9">
                  <c:v>0</c:v>
                </c:pt>
                <c:pt idx="10">
                  <c:v>0.45700000000000002</c:v>
                </c:pt>
                <c:pt idx="11">
                  <c:v>0.92500000000000004</c:v>
                </c:pt>
                <c:pt idx="12">
                  <c:v>0.48899999999999999</c:v>
                </c:pt>
                <c:pt idx="13">
                  <c:v>0.67</c:v>
                </c:pt>
                <c:pt idx="14">
                  <c:v>0.68</c:v>
                </c:pt>
                <c:pt idx="15">
                  <c:v>0.57399999999999995</c:v>
                </c:pt>
                <c:pt idx="16">
                  <c:v>0.76500000000000001</c:v>
                </c:pt>
                <c:pt idx="17">
                  <c:v>0.88200000000000001</c:v>
                </c:pt>
                <c:pt idx="18">
                  <c:v>0.84</c:v>
                </c:pt>
                <c:pt idx="19">
                  <c:v>0.98899999999999999</c:v>
                </c:pt>
                <c:pt idx="20">
                  <c:v>0.53100000000000003</c:v>
                </c:pt>
                <c:pt idx="21">
                  <c:v>0.29699999999999999</c:v>
                </c:pt>
                <c:pt idx="22">
                  <c:v>0.38200000000000001</c:v>
                </c:pt>
                <c:pt idx="23">
                  <c:v>0.74399999999999999</c:v>
                </c:pt>
                <c:pt idx="24">
                  <c:v>0.86099999999999999</c:v>
                </c:pt>
                <c:pt idx="25">
                  <c:v>0.94599999999999995</c:v>
                </c:pt>
                <c:pt idx="26">
                  <c:v>0.97799999999999998</c:v>
                </c:pt>
                <c:pt idx="27">
                  <c:v>0.39300000000000002</c:v>
                </c:pt>
                <c:pt idx="28">
                  <c:v>0.308</c:v>
                </c:pt>
                <c:pt idx="29">
                  <c:v>0.78700000000000003</c:v>
                </c:pt>
                <c:pt idx="30">
                  <c:v>0.372</c:v>
                </c:pt>
                <c:pt idx="31">
                  <c:v>0.191</c:v>
                </c:pt>
                <c:pt idx="32">
                  <c:v>0.61699999999999999</c:v>
                </c:pt>
                <c:pt idx="33">
                  <c:v>0.70199999999999996</c:v>
                </c:pt>
                <c:pt idx="34">
                  <c:v>0.79700000000000004</c:v>
                </c:pt>
                <c:pt idx="35">
                  <c:v>0.56299999999999994</c:v>
                </c:pt>
                <c:pt idx="36">
                  <c:v>0.14799999999999999</c:v>
                </c:pt>
                <c:pt idx="37">
                  <c:v>0.21199999999999999</c:v>
                </c:pt>
                <c:pt idx="38">
                  <c:v>0.24399999999999999</c:v>
                </c:pt>
                <c:pt idx="39">
                  <c:v>0.65900000000000003</c:v>
                </c:pt>
                <c:pt idx="40">
                  <c:v>0.42499999999999999</c:v>
                </c:pt>
                <c:pt idx="41">
                  <c:v>0</c:v>
                </c:pt>
                <c:pt idx="42">
                  <c:v>0.26500000000000001</c:v>
                </c:pt>
                <c:pt idx="43">
                  <c:v>0.44600000000000001</c:v>
                </c:pt>
                <c:pt idx="44">
                  <c:v>4.2000000000000003E-2</c:v>
                </c:pt>
                <c:pt idx="45">
                  <c:v>8.5000000000000006E-2</c:v>
                </c:pt>
                <c:pt idx="46">
                  <c:v>0.91400000000000003</c:v>
                </c:pt>
                <c:pt idx="47">
                  <c:v>0.51</c:v>
                </c:pt>
                <c:pt idx="48">
                  <c:v>0.72299999999999998</c:v>
                </c:pt>
                <c:pt idx="49">
                  <c:v>0.46800000000000003</c:v>
                </c:pt>
                <c:pt idx="50">
                  <c:v>0.52100000000000002</c:v>
                </c:pt>
                <c:pt idx="51">
                  <c:v>0.436</c:v>
                </c:pt>
                <c:pt idx="52">
                  <c:v>0.89300000000000002</c:v>
                </c:pt>
                <c:pt idx="53">
                  <c:v>0.872</c:v>
                </c:pt>
                <c:pt idx="54">
                  <c:v>0.11700000000000001</c:v>
                </c:pt>
                <c:pt idx="55">
                  <c:v>0.59499999999999997</c:v>
                </c:pt>
                <c:pt idx="56">
                  <c:v>0.58499999999999996</c:v>
                </c:pt>
                <c:pt idx="57">
                  <c:v>0.81899999999999995</c:v>
                </c:pt>
                <c:pt idx="58">
                  <c:v>0.23400000000000001</c:v>
                </c:pt>
                <c:pt idx="59">
                  <c:v>0.93600000000000005</c:v>
                </c:pt>
                <c:pt idx="60">
                  <c:v>0.35099999999999998</c:v>
                </c:pt>
                <c:pt idx="61">
                  <c:v>0.31900000000000001</c:v>
                </c:pt>
                <c:pt idx="62">
                  <c:v>0.27600000000000002</c:v>
                </c:pt>
                <c:pt idx="63">
                  <c:v>0.36099999999999999</c:v>
                </c:pt>
                <c:pt idx="64">
                  <c:v>0.755</c:v>
                </c:pt>
                <c:pt idx="65">
                  <c:v>0.40400000000000003</c:v>
                </c:pt>
                <c:pt idx="66">
                  <c:v>0.20200000000000001</c:v>
                </c:pt>
                <c:pt idx="67">
                  <c:v>0.63800000000000001</c:v>
                </c:pt>
                <c:pt idx="68">
                  <c:v>0.159</c:v>
                </c:pt>
                <c:pt idx="69">
                  <c:v>0.106</c:v>
                </c:pt>
                <c:pt idx="70">
                  <c:v>7.3999999999999996E-2</c:v>
                </c:pt>
                <c:pt idx="71">
                  <c:v>0.73399999999999999</c:v>
                </c:pt>
                <c:pt idx="72">
                  <c:v>0.223</c:v>
                </c:pt>
                <c:pt idx="73">
                  <c:v>0.54200000000000004</c:v>
                </c:pt>
                <c:pt idx="74">
                  <c:v>0.13800000000000001</c:v>
                </c:pt>
                <c:pt idx="75">
                  <c:v>9.5000000000000001E-2</c:v>
                </c:pt>
                <c:pt idx="76">
                  <c:v>0</c:v>
                </c:pt>
                <c:pt idx="77">
                  <c:v>0.28699999999999998</c:v>
                </c:pt>
                <c:pt idx="78">
                  <c:v>0.55300000000000005</c:v>
                </c:pt>
                <c:pt idx="79">
                  <c:v>0.82899999999999996</c:v>
                </c:pt>
                <c:pt idx="80">
                  <c:v>5.2999999999999999E-2</c:v>
                </c:pt>
                <c:pt idx="81">
                  <c:v>0.255</c:v>
                </c:pt>
                <c:pt idx="82">
                  <c:v>0.17</c:v>
                </c:pt>
                <c:pt idx="83">
                  <c:v>0.18</c:v>
                </c:pt>
                <c:pt idx="84">
                  <c:v>0.5</c:v>
                </c:pt>
                <c:pt idx="85">
                  <c:v>0.64800000000000002</c:v>
                </c:pt>
                <c:pt idx="86">
                  <c:v>0.34</c:v>
                </c:pt>
                <c:pt idx="87">
                  <c:v>0.69099999999999995</c:v>
                </c:pt>
                <c:pt idx="88">
                  <c:v>0.47799999999999998</c:v>
                </c:pt>
                <c:pt idx="89">
                  <c:v>0.85099999999999998</c:v>
                </c:pt>
                <c:pt idx="90">
                  <c:v>0.32900000000000001</c:v>
                </c:pt>
                <c:pt idx="91">
                  <c:v>6.3E-2</c:v>
                </c:pt>
                <c:pt idx="92">
                  <c:v>0.71199999999999997</c:v>
                </c:pt>
                <c:pt idx="93">
                  <c:v>0.127</c:v>
                </c:pt>
                <c:pt idx="94">
                  <c:v>0</c:v>
                </c:pt>
              </c:numCache>
            </c:numRef>
          </c:xVal>
          <c:yVal>
            <c:numRef>
              <c:f>analysis!$F$2:$F$96</c:f>
              <c:numCache>
                <c:formatCode>0%</c:formatCode>
                <c:ptCount val="95"/>
                <c:pt idx="0">
                  <c:v>1</c:v>
                </c:pt>
                <c:pt idx="1">
                  <c:v>0.98899999999999999</c:v>
                </c:pt>
                <c:pt idx="2">
                  <c:v>0.97799999999999998</c:v>
                </c:pt>
                <c:pt idx="3">
                  <c:v>0.96799999999999997</c:v>
                </c:pt>
                <c:pt idx="4">
                  <c:v>0.95699999999999996</c:v>
                </c:pt>
                <c:pt idx="5">
                  <c:v>0.94599999999999995</c:v>
                </c:pt>
                <c:pt idx="6">
                  <c:v>0.93600000000000005</c:v>
                </c:pt>
                <c:pt idx="7">
                  <c:v>0.92500000000000004</c:v>
                </c:pt>
                <c:pt idx="8">
                  <c:v>0.91400000000000003</c:v>
                </c:pt>
                <c:pt idx="9">
                  <c:v>0.90400000000000003</c:v>
                </c:pt>
                <c:pt idx="10">
                  <c:v>0.89300000000000002</c:v>
                </c:pt>
                <c:pt idx="11">
                  <c:v>0.88200000000000001</c:v>
                </c:pt>
                <c:pt idx="12">
                  <c:v>0.872</c:v>
                </c:pt>
                <c:pt idx="13">
                  <c:v>0.86099999999999999</c:v>
                </c:pt>
                <c:pt idx="14">
                  <c:v>0.85099999999999998</c:v>
                </c:pt>
                <c:pt idx="15">
                  <c:v>0.84</c:v>
                </c:pt>
                <c:pt idx="16">
                  <c:v>0.82899999999999996</c:v>
                </c:pt>
                <c:pt idx="17">
                  <c:v>0.81899999999999995</c:v>
                </c:pt>
                <c:pt idx="18">
                  <c:v>0.80800000000000005</c:v>
                </c:pt>
                <c:pt idx="19">
                  <c:v>0.79700000000000004</c:v>
                </c:pt>
                <c:pt idx="20">
                  <c:v>0.78700000000000003</c:v>
                </c:pt>
                <c:pt idx="21">
                  <c:v>0.77600000000000002</c:v>
                </c:pt>
                <c:pt idx="22">
                  <c:v>0.76500000000000001</c:v>
                </c:pt>
                <c:pt idx="23">
                  <c:v>0.755</c:v>
                </c:pt>
                <c:pt idx="24">
                  <c:v>0.74399999999999999</c:v>
                </c:pt>
                <c:pt idx="25">
                  <c:v>0.73399999999999999</c:v>
                </c:pt>
                <c:pt idx="26">
                  <c:v>0.72299999999999998</c:v>
                </c:pt>
                <c:pt idx="27">
                  <c:v>0.71199999999999997</c:v>
                </c:pt>
                <c:pt idx="28">
                  <c:v>0.70199999999999996</c:v>
                </c:pt>
                <c:pt idx="29">
                  <c:v>0.69099999999999995</c:v>
                </c:pt>
                <c:pt idx="30">
                  <c:v>0.68</c:v>
                </c:pt>
                <c:pt idx="31">
                  <c:v>0.67</c:v>
                </c:pt>
                <c:pt idx="32">
                  <c:v>0.65900000000000003</c:v>
                </c:pt>
                <c:pt idx="33">
                  <c:v>0.64800000000000002</c:v>
                </c:pt>
                <c:pt idx="34">
                  <c:v>0.63800000000000001</c:v>
                </c:pt>
                <c:pt idx="35">
                  <c:v>0.627</c:v>
                </c:pt>
                <c:pt idx="36">
                  <c:v>0.61699999999999999</c:v>
                </c:pt>
                <c:pt idx="37">
                  <c:v>0.60599999999999998</c:v>
                </c:pt>
                <c:pt idx="38">
                  <c:v>0.59499999999999997</c:v>
                </c:pt>
                <c:pt idx="39">
                  <c:v>0.58499999999999996</c:v>
                </c:pt>
                <c:pt idx="40">
                  <c:v>0.57399999999999995</c:v>
                </c:pt>
                <c:pt idx="41">
                  <c:v>0.56299999999999994</c:v>
                </c:pt>
                <c:pt idx="42">
                  <c:v>0.55300000000000005</c:v>
                </c:pt>
                <c:pt idx="43">
                  <c:v>0.54200000000000004</c:v>
                </c:pt>
                <c:pt idx="44">
                  <c:v>0.53100000000000003</c:v>
                </c:pt>
                <c:pt idx="45">
                  <c:v>0.52100000000000002</c:v>
                </c:pt>
                <c:pt idx="46">
                  <c:v>0.51</c:v>
                </c:pt>
                <c:pt idx="47">
                  <c:v>0.5</c:v>
                </c:pt>
                <c:pt idx="48">
                  <c:v>0.48899999999999999</c:v>
                </c:pt>
                <c:pt idx="49">
                  <c:v>0.47799999999999998</c:v>
                </c:pt>
                <c:pt idx="50">
                  <c:v>0.46800000000000003</c:v>
                </c:pt>
                <c:pt idx="51">
                  <c:v>0.45700000000000002</c:v>
                </c:pt>
                <c:pt idx="52">
                  <c:v>0.44600000000000001</c:v>
                </c:pt>
                <c:pt idx="53">
                  <c:v>0.436</c:v>
                </c:pt>
                <c:pt idx="54">
                  <c:v>0.42499999999999999</c:v>
                </c:pt>
                <c:pt idx="55">
                  <c:v>0.41399999999999998</c:v>
                </c:pt>
                <c:pt idx="56">
                  <c:v>0.40400000000000003</c:v>
                </c:pt>
                <c:pt idx="57">
                  <c:v>0.39300000000000002</c:v>
                </c:pt>
                <c:pt idx="58">
                  <c:v>0.38200000000000001</c:v>
                </c:pt>
                <c:pt idx="59">
                  <c:v>0.372</c:v>
                </c:pt>
                <c:pt idx="60">
                  <c:v>0.36099999999999999</c:v>
                </c:pt>
                <c:pt idx="61">
                  <c:v>0.35099999999999998</c:v>
                </c:pt>
                <c:pt idx="62">
                  <c:v>0.34</c:v>
                </c:pt>
                <c:pt idx="63">
                  <c:v>0.32900000000000001</c:v>
                </c:pt>
                <c:pt idx="64">
                  <c:v>0.31900000000000001</c:v>
                </c:pt>
                <c:pt idx="65">
                  <c:v>0.308</c:v>
                </c:pt>
                <c:pt idx="66">
                  <c:v>0.29699999999999999</c:v>
                </c:pt>
                <c:pt idx="67">
                  <c:v>0.28699999999999998</c:v>
                </c:pt>
                <c:pt idx="68">
                  <c:v>0.27600000000000002</c:v>
                </c:pt>
                <c:pt idx="69">
                  <c:v>0.26500000000000001</c:v>
                </c:pt>
                <c:pt idx="70">
                  <c:v>0.255</c:v>
                </c:pt>
                <c:pt idx="71">
                  <c:v>0.24399999999999999</c:v>
                </c:pt>
                <c:pt idx="72">
                  <c:v>0.23400000000000001</c:v>
                </c:pt>
                <c:pt idx="73">
                  <c:v>0.223</c:v>
                </c:pt>
                <c:pt idx="74">
                  <c:v>0.21199999999999999</c:v>
                </c:pt>
                <c:pt idx="75">
                  <c:v>0.20200000000000001</c:v>
                </c:pt>
                <c:pt idx="76">
                  <c:v>0.191</c:v>
                </c:pt>
                <c:pt idx="77">
                  <c:v>0.18</c:v>
                </c:pt>
                <c:pt idx="78">
                  <c:v>0.17</c:v>
                </c:pt>
                <c:pt idx="79">
                  <c:v>0.159</c:v>
                </c:pt>
                <c:pt idx="80">
                  <c:v>0.14799999999999999</c:v>
                </c:pt>
                <c:pt idx="81">
                  <c:v>0.13800000000000001</c:v>
                </c:pt>
                <c:pt idx="82">
                  <c:v>0.127</c:v>
                </c:pt>
                <c:pt idx="83">
                  <c:v>0.11700000000000001</c:v>
                </c:pt>
                <c:pt idx="84">
                  <c:v>0.106</c:v>
                </c:pt>
                <c:pt idx="85">
                  <c:v>9.5000000000000001E-2</c:v>
                </c:pt>
                <c:pt idx="86">
                  <c:v>8.5000000000000006E-2</c:v>
                </c:pt>
                <c:pt idx="87">
                  <c:v>7.3999999999999996E-2</c:v>
                </c:pt>
                <c:pt idx="88">
                  <c:v>6.3E-2</c:v>
                </c:pt>
                <c:pt idx="89">
                  <c:v>5.2999999999999999E-2</c:v>
                </c:pt>
                <c:pt idx="90">
                  <c:v>4.2000000000000003E-2</c:v>
                </c:pt>
                <c:pt idx="91">
                  <c:v>3.1E-2</c:v>
                </c:pt>
                <c:pt idx="92">
                  <c:v>2.1000000000000001E-2</c:v>
                </c:pt>
                <c:pt idx="93">
                  <c:v>0.01</c:v>
                </c:pt>
                <c:pt idx="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1F-4EB4-86A5-881CAF9A4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875504"/>
        <c:axId val="736875984"/>
      </c:scatterChart>
      <c:valAx>
        <c:axId val="73687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WTD VS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875984"/>
        <c:crosses val="autoZero"/>
        <c:crossBetween val="midCat"/>
      </c:valAx>
      <c:valAx>
        <c:axId val="73687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875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205740</xdr:colOff>
      <xdr:row>0</xdr:row>
      <xdr:rowOff>121920</xdr:rowOff>
    </xdr:from>
    <xdr:to>
      <xdr:col>18</xdr:col>
      <xdr:colOff>510540</xdr:colOff>
      <xdr:row>15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15CBD1-88F0-41BF-981C-69289A620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A03F2-8926-4C01-BA57-6D8896DC3284}">
  <dimension ref="A1:C97"/>
  <sheetViews>
    <sheetView topLeftCell="A45" workbookViewId="0">
      <selection activeCell="B2" sqref="B2:B97"/>
    </sheetView>
  </sheetViews>
  <sheetFormatPr defaultRowHeight="14.4" x14ac:dyDescent="0.3"/>
  <cols>
    <col min="2" max="2" width="20.21875" bestFit="1" customWidth="1"/>
    <col min="3" max="3" width="9" bestFit="1" customWidth="1"/>
  </cols>
  <sheetData>
    <row r="1" spans="1:3" x14ac:dyDescent="0.3">
      <c r="A1" t="s">
        <v>54</v>
      </c>
      <c r="B1" t="s">
        <v>53</v>
      </c>
      <c r="C1" t="s">
        <v>59</v>
      </c>
    </row>
    <row r="2" spans="1:3" x14ac:dyDescent="0.3">
      <c r="A2">
        <v>1</v>
      </c>
      <c r="B2" t="s">
        <v>60</v>
      </c>
      <c r="C2">
        <v>15702055</v>
      </c>
    </row>
    <row r="3" spans="1:3" x14ac:dyDescent="0.3">
      <c r="A3">
        <v>2</v>
      </c>
      <c r="B3" t="s">
        <v>49</v>
      </c>
      <c r="C3">
        <v>12214971</v>
      </c>
    </row>
    <row r="4" spans="1:3" x14ac:dyDescent="0.3">
      <c r="A4">
        <v>3</v>
      </c>
      <c r="B4" t="s">
        <v>43</v>
      </c>
      <c r="C4">
        <v>9119649</v>
      </c>
    </row>
    <row r="5" spans="1:3" x14ac:dyDescent="0.3">
      <c r="A5">
        <v>4</v>
      </c>
      <c r="B5" t="s">
        <v>61</v>
      </c>
      <c r="C5">
        <v>8611927</v>
      </c>
    </row>
    <row r="6" spans="1:3" x14ac:dyDescent="0.3">
      <c r="A6">
        <v>5</v>
      </c>
      <c r="B6" t="s">
        <v>50</v>
      </c>
      <c r="C6">
        <v>8401268</v>
      </c>
    </row>
    <row r="7" spans="1:3" x14ac:dyDescent="0.3">
      <c r="A7">
        <v>6</v>
      </c>
      <c r="B7" t="s">
        <v>34</v>
      </c>
      <c r="C7">
        <v>6311179</v>
      </c>
    </row>
    <row r="8" spans="1:3" x14ac:dyDescent="0.3">
      <c r="A8">
        <v>7</v>
      </c>
      <c r="B8" t="s">
        <v>62</v>
      </c>
      <c r="C8">
        <v>6194536</v>
      </c>
    </row>
    <row r="9" spans="1:3" x14ac:dyDescent="0.3">
      <c r="A9">
        <v>8</v>
      </c>
      <c r="B9" t="s">
        <v>48</v>
      </c>
      <c r="C9">
        <v>6070432</v>
      </c>
    </row>
    <row r="10" spans="1:3" x14ac:dyDescent="0.3">
      <c r="A10">
        <v>9</v>
      </c>
      <c r="B10" t="s">
        <v>47</v>
      </c>
      <c r="C10">
        <v>5827820</v>
      </c>
    </row>
    <row r="11" spans="1:3" x14ac:dyDescent="0.3">
      <c r="A11">
        <v>10</v>
      </c>
      <c r="B11" t="s">
        <v>63</v>
      </c>
      <c r="C11">
        <v>5794630</v>
      </c>
    </row>
    <row r="12" spans="1:3" x14ac:dyDescent="0.3">
      <c r="A12">
        <v>11</v>
      </c>
      <c r="B12" t="s">
        <v>51</v>
      </c>
      <c r="C12">
        <v>5693755</v>
      </c>
    </row>
    <row r="13" spans="1:3" x14ac:dyDescent="0.3">
      <c r="A13">
        <v>12</v>
      </c>
      <c r="B13" t="s">
        <v>1</v>
      </c>
      <c r="C13">
        <v>5499645</v>
      </c>
    </row>
    <row r="14" spans="1:3" x14ac:dyDescent="0.3">
      <c r="A14">
        <v>13</v>
      </c>
      <c r="B14" t="s">
        <v>24</v>
      </c>
      <c r="C14">
        <v>5314806</v>
      </c>
    </row>
    <row r="15" spans="1:3" x14ac:dyDescent="0.3">
      <c r="A15">
        <v>14</v>
      </c>
      <c r="B15" t="s">
        <v>19</v>
      </c>
      <c r="C15">
        <v>4992116</v>
      </c>
    </row>
    <row r="16" spans="1:3" x14ac:dyDescent="0.3">
      <c r="A16">
        <v>15</v>
      </c>
      <c r="B16" t="s">
        <v>3</v>
      </c>
      <c r="C16">
        <v>4862491</v>
      </c>
    </row>
    <row r="17" spans="1:3" x14ac:dyDescent="0.3">
      <c r="A17">
        <v>16</v>
      </c>
      <c r="B17" t="s">
        <v>64</v>
      </c>
      <c r="C17">
        <v>4792980</v>
      </c>
    </row>
    <row r="18" spans="1:3" x14ac:dyDescent="0.3">
      <c r="A18">
        <v>17</v>
      </c>
      <c r="B18" t="s">
        <v>65</v>
      </c>
      <c r="C18">
        <v>4791169</v>
      </c>
    </row>
    <row r="19" spans="1:3" x14ac:dyDescent="0.3">
      <c r="A19">
        <v>18</v>
      </c>
      <c r="B19" t="s">
        <v>44</v>
      </c>
      <c r="C19">
        <v>4789200</v>
      </c>
    </row>
    <row r="20" spans="1:3" x14ac:dyDescent="0.3">
      <c r="A20">
        <v>19</v>
      </c>
      <c r="B20" t="s">
        <v>66</v>
      </c>
      <c r="C20">
        <v>4737953</v>
      </c>
    </row>
    <row r="21" spans="1:3" x14ac:dyDescent="0.3">
      <c r="A21">
        <v>20</v>
      </c>
      <c r="B21" t="s">
        <v>67</v>
      </c>
      <c r="C21">
        <v>4714228</v>
      </c>
    </row>
    <row r="22" spans="1:3" x14ac:dyDescent="0.3">
      <c r="A22">
        <v>21</v>
      </c>
      <c r="B22" t="s">
        <v>68</v>
      </c>
      <c r="C22">
        <v>4647868</v>
      </c>
    </row>
    <row r="23" spans="1:3" x14ac:dyDescent="0.3">
      <c r="A23">
        <v>22</v>
      </c>
      <c r="B23" t="s">
        <v>69</v>
      </c>
      <c r="C23">
        <v>4627335</v>
      </c>
    </row>
    <row r="24" spans="1:3" x14ac:dyDescent="0.3">
      <c r="A24">
        <v>23</v>
      </c>
      <c r="B24" t="s">
        <v>20</v>
      </c>
      <c r="C24">
        <v>4546105</v>
      </c>
    </row>
    <row r="25" spans="1:3" x14ac:dyDescent="0.3">
      <c r="A25">
        <v>24</v>
      </c>
      <c r="B25" t="s">
        <v>0</v>
      </c>
      <c r="C25">
        <v>4365881</v>
      </c>
    </row>
    <row r="26" spans="1:3" x14ac:dyDescent="0.3">
      <c r="A26">
        <v>25</v>
      </c>
      <c r="B26" t="s">
        <v>39</v>
      </c>
      <c r="C26">
        <v>4150745</v>
      </c>
    </row>
    <row r="27" spans="1:3" x14ac:dyDescent="0.3">
      <c r="A27">
        <v>26</v>
      </c>
      <c r="B27" t="s">
        <v>29</v>
      </c>
      <c r="C27">
        <v>4150228</v>
      </c>
    </row>
    <row r="28" spans="1:3" x14ac:dyDescent="0.3">
      <c r="A28">
        <v>27</v>
      </c>
      <c r="B28" t="s">
        <v>70</v>
      </c>
      <c r="C28">
        <v>4121213</v>
      </c>
    </row>
    <row r="29" spans="1:3" x14ac:dyDescent="0.3">
      <c r="A29">
        <v>28</v>
      </c>
      <c r="B29" t="s">
        <v>28</v>
      </c>
      <c r="C29">
        <v>4109114</v>
      </c>
    </row>
    <row r="30" spans="1:3" x14ac:dyDescent="0.3">
      <c r="A30">
        <v>29</v>
      </c>
      <c r="B30" t="s">
        <v>71</v>
      </c>
      <c r="C30">
        <v>4088818</v>
      </c>
    </row>
    <row r="31" spans="1:3" x14ac:dyDescent="0.3">
      <c r="A31">
        <v>30</v>
      </c>
      <c r="B31" t="s">
        <v>72</v>
      </c>
      <c r="C31">
        <v>4011219</v>
      </c>
    </row>
    <row r="32" spans="1:3" x14ac:dyDescent="0.3">
      <c r="A32">
        <v>31</v>
      </c>
      <c r="B32" t="s">
        <v>73</v>
      </c>
      <c r="C32">
        <v>3884630</v>
      </c>
    </row>
    <row r="33" spans="1:3" x14ac:dyDescent="0.3">
      <c r="A33">
        <v>32</v>
      </c>
      <c r="B33" t="s">
        <v>26</v>
      </c>
      <c r="C33">
        <v>3826667</v>
      </c>
    </row>
    <row r="34" spans="1:3" x14ac:dyDescent="0.3">
      <c r="A34">
        <v>33</v>
      </c>
      <c r="B34" t="s">
        <v>33</v>
      </c>
      <c r="C34">
        <v>3810506</v>
      </c>
    </row>
    <row r="35" spans="1:3" x14ac:dyDescent="0.3">
      <c r="A35">
        <v>34</v>
      </c>
      <c r="B35" t="s">
        <v>102</v>
      </c>
      <c r="C35">
        <v>3804815</v>
      </c>
    </row>
    <row r="36" spans="1:3" x14ac:dyDescent="0.3">
      <c r="A36">
        <v>35</v>
      </c>
      <c r="B36" t="s">
        <v>16</v>
      </c>
      <c r="C36">
        <v>3676403</v>
      </c>
    </row>
    <row r="37" spans="1:3" x14ac:dyDescent="0.3">
      <c r="A37">
        <v>36</v>
      </c>
      <c r="B37" t="s">
        <v>45</v>
      </c>
      <c r="C37">
        <v>3643650</v>
      </c>
    </row>
    <row r="38" spans="1:3" x14ac:dyDescent="0.3">
      <c r="A38">
        <v>37</v>
      </c>
      <c r="B38" t="s">
        <v>36</v>
      </c>
      <c r="C38">
        <v>3641493</v>
      </c>
    </row>
    <row r="39" spans="1:3" x14ac:dyDescent="0.3">
      <c r="A39">
        <v>38</v>
      </c>
      <c r="B39" t="s">
        <v>42</v>
      </c>
      <c r="C39">
        <v>3509465</v>
      </c>
    </row>
    <row r="40" spans="1:3" x14ac:dyDescent="0.3">
      <c r="A40">
        <v>39</v>
      </c>
      <c r="B40" t="s">
        <v>74</v>
      </c>
      <c r="C40">
        <v>3491725</v>
      </c>
    </row>
    <row r="41" spans="1:3" x14ac:dyDescent="0.3">
      <c r="A41">
        <v>40</v>
      </c>
      <c r="B41" t="s">
        <v>18</v>
      </c>
      <c r="C41">
        <v>3433393</v>
      </c>
    </row>
    <row r="42" spans="1:3" x14ac:dyDescent="0.3">
      <c r="A42">
        <v>41</v>
      </c>
      <c r="B42" t="s">
        <v>37</v>
      </c>
      <c r="C42">
        <v>3370400</v>
      </c>
    </row>
    <row r="43" spans="1:3" x14ac:dyDescent="0.3">
      <c r="A43">
        <v>42</v>
      </c>
      <c r="B43" t="s">
        <v>75</v>
      </c>
      <c r="C43">
        <v>3363330</v>
      </c>
    </row>
    <row r="44" spans="1:3" x14ac:dyDescent="0.3">
      <c r="A44">
        <v>43</v>
      </c>
      <c r="B44" t="s">
        <v>46</v>
      </c>
      <c r="C44">
        <v>3307184</v>
      </c>
    </row>
    <row r="45" spans="1:3" x14ac:dyDescent="0.3">
      <c r="A45">
        <v>44</v>
      </c>
      <c r="B45" t="s">
        <v>55</v>
      </c>
      <c r="C45">
        <v>3198516</v>
      </c>
    </row>
    <row r="46" spans="1:3" x14ac:dyDescent="0.3">
      <c r="A46">
        <v>45</v>
      </c>
      <c r="B46" t="s">
        <v>35</v>
      </c>
      <c r="C46">
        <v>3185355</v>
      </c>
    </row>
    <row r="47" spans="1:3" x14ac:dyDescent="0.3">
      <c r="A47">
        <v>46</v>
      </c>
      <c r="B47" t="s">
        <v>52</v>
      </c>
      <c r="C47">
        <v>3176420</v>
      </c>
    </row>
    <row r="48" spans="1:3" x14ac:dyDescent="0.3">
      <c r="A48">
        <v>47</v>
      </c>
      <c r="B48" t="s">
        <v>76</v>
      </c>
      <c r="C48">
        <v>3160555</v>
      </c>
    </row>
    <row r="49" spans="1:3" x14ac:dyDescent="0.3">
      <c r="A49">
        <v>48</v>
      </c>
      <c r="B49" t="s">
        <v>31</v>
      </c>
      <c r="C49">
        <v>3135488</v>
      </c>
    </row>
    <row r="50" spans="1:3" x14ac:dyDescent="0.3">
      <c r="A50">
        <v>49</v>
      </c>
      <c r="B50" t="s">
        <v>13</v>
      </c>
      <c r="C50">
        <v>3089205</v>
      </c>
    </row>
    <row r="51" spans="1:3" x14ac:dyDescent="0.3">
      <c r="A51">
        <v>50</v>
      </c>
      <c r="B51" t="s">
        <v>77</v>
      </c>
      <c r="C51">
        <v>3087825</v>
      </c>
    </row>
    <row r="52" spans="1:3" x14ac:dyDescent="0.3">
      <c r="A52">
        <v>51</v>
      </c>
      <c r="B52" t="s">
        <v>78</v>
      </c>
      <c r="C52">
        <v>3068419</v>
      </c>
    </row>
    <row r="53" spans="1:3" x14ac:dyDescent="0.3">
      <c r="A53">
        <v>52</v>
      </c>
      <c r="B53" t="s">
        <v>4</v>
      </c>
      <c r="C53">
        <v>2871198</v>
      </c>
    </row>
    <row r="54" spans="1:3" x14ac:dyDescent="0.3">
      <c r="A54">
        <v>53</v>
      </c>
      <c r="B54" t="s">
        <v>40</v>
      </c>
      <c r="C54">
        <v>2853030</v>
      </c>
    </row>
    <row r="55" spans="1:3" x14ac:dyDescent="0.3">
      <c r="A55">
        <v>54</v>
      </c>
      <c r="B55" t="s">
        <v>17</v>
      </c>
      <c r="C55">
        <v>2851320</v>
      </c>
    </row>
    <row r="56" spans="1:3" x14ac:dyDescent="0.3">
      <c r="A56">
        <v>55</v>
      </c>
      <c r="B56" t="s">
        <v>79</v>
      </c>
      <c r="C56">
        <v>2849850</v>
      </c>
    </row>
    <row r="57" spans="1:3" x14ac:dyDescent="0.3">
      <c r="A57">
        <v>56</v>
      </c>
      <c r="B57" t="s">
        <v>22</v>
      </c>
      <c r="C57">
        <v>2766515</v>
      </c>
    </row>
    <row r="58" spans="1:3" x14ac:dyDescent="0.3">
      <c r="A58">
        <v>57</v>
      </c>
      <c r="B58" t="s">
        <v>80</v>
      </c>
      <c r="C58">
        <v>2722105</v>
      </c>
    </row>
    <row r="59" spans="1:3" x14ac:dyDescent="0.3">
      <c r="A59">
        <v>58</v>
      </c>
      <c r="B59" t="s">
        <v>25</v>
      </c>
      <c r="C59">
        <v>2644035</v>
      </c>
    </row>
    <row r="60" spans="1:3" x14ac:dyDescent="0.3">
      <c r="A60">
        <v>59</v>
      </c>
      <c r="B60" t="s">
        <v>15</v>
      </c>
      <c r="C60">
        <v>2640978</v>
      </c>
    </row>
    <row r="61" spans="1:3" x14ac:dyDescent="0.3">
      <c r="A61">
        <v>60</v>
      </c>
      <c r="B61" t="s">
        <v>5</v>
      </c>
      <c r="C61">
        <v>2592515</v>
      </c>
    </row>
    <row r="62" spans="1:3" x14ac:dyDescent="0.3">
      <c r="A62">
        <v>61</v>
      </c>
      <c r="B62" t="s">
        <v>21</v>
      </c>
      <c r="C62">
        <v>2356849</v>
      </c>
    </row>
    <row r="63" spans="1:3" x14ac:dyDescent="0.3">
      <c r="A63">
        <v>62</v>
      </c>
      <c r="B63" t="s">
        <v>101</v>
      </c>
      <c r="C63">
        <v>2342828</v>
      </c>
    </row>
    <row r="64" spans="1:3" x14ac:dyDescent="0.3">
      <c r="A64">
        <v>63</v>
      </c>
      <c r="B64" t="s">
        <v>14</v>
      </c>
      <c r="C64">
        <v>2321953</v>
      </c>
    </row>
    <row r="65" spans="1:3" x14ac:dyDescent="0.3">
      <c r="A65">
        <v>64</v>
      </c>
      <c r="B65" t="s">
        <v>10</v>
      </c>
      <c r="C65">
        <v>2315865</v>
      </c>
    </row>
    <row r="66" spans="1:3" x14ac:dyDescent="0.3">
      <c r="A66">
        <v>65</v>
      </c>
      <c r="B66" t="s">
        <v>81</v>
      </c>
      <c r="C66">
        <v>2315507</v>
      </c>
    </row>
    <row r="67" spans="1:3" x14ac:dyDescent="0.3">
      <c r="A67">
        <v>66</v>
      </c>
      <c r="B67" t="s">
        <v>12</v>
      </c>
      <c r="C67">
        <v>2305405</v>
      </c>
    </row>
    <row r="68" spans="1:3" x14ac:dyDescent="0.3">
      <c r="A68">
        <v>67</v>
      </c>
      <c r="B68" t="s">
        <v>82</v>
      </c>
      <c r="C68">
        <v>2217385</v>
      </c>
    </row>
    <row r="69" spans="1:3" x14ac:dyDescent="0.3">
      <c r="A69">
        <v>68</v>
      </c>
      <c r="B69" t="s">
        <v>83</v>
      </c>
      <c r="C69">
        <v>2192925</v>
      </c>
    </row>
    <row r="70" spans="1:3" x14ac:dyDescent="0.3">
      <c r="A70">
        <v>69</v>
      </c>
      <c r="B70" t="s">
        <v>23</v>
      </c>
      <c r="C70">
        <v>2158459</v>
      </c>
    </row>
    <row r="71" spans="1:3" x14ac:dyDescent="0.3">
      <c r="A71">
        <v>70</v>
      </c>
      <c r="B71" t="s">
        <v>84</v>
      </c>
      <c r="C71">
        <v>2075935</v>
      </c>
    </row>
    <row r="72" spans="1:3" x14ac:dyDescent="0.3">
      <c r="A72">
        <v>71</v>
      </c>
      <c r="B72" t="s">
        <v>32</v>
      </c>
      <c r="C72">
        <v>2071567</v>
      </c>
    </row>
    <row r="73" spans="1:3" x14ac:dyDescent="0.3">
      <c r="A73">
        <v>72</v>
      </c>
      <c r="B73" t="s">
        <v>11</v>
      </c>
      <c r="C73">
        <v>2034260</v>
      </c>
    </row>
    <row r="74" spans="1:3" x14ac:dyDescent="0.3">
      <c r="A74">
        <v>73</v>
      </c>
      <c r="B74" t="s">
        <v>85</v>
      </c>
      <c r="C74">
        <v>2025230</v>
      </c>
    </row>
    <row r="75" spans="1:3" x14ac:dyDescent="0.3">
      <c r="A75">
        <v>74</v>
      </c>
      <c r="B75" t="s">
        <v>86</v>
      </c>
      <c r="C75">
        <v>2024897</v>
      </c>
    </row>
    <row r="76" spans="1:3" x14ac:dyDescent="0.3">
      <c r="A76">
        <v>75</v>
      </c>
      <c r="B76" t="s">
        <v>87</v>
      </c>
      <c r="C76">
        <v>1976858</v>
      </c>
    </row>
    <row r="77" spans="1:3" x14ac:dyDescent="0.3">
      <c r="A77">
        <v>76</v>
      </c>
      <c r="B77" t="s">
        <v>41</v>
      </c>
      <c r="C77">
        <v>1936160</v>
      </c>
    </row>
    <row r="78" spans="1:3" x14ac:dyDescent="0.3">
      <c r="A78">
        <v>77</v>
      </c>
      <c r="B78" t="s">
        <v>38</v>
      </c>
      <c r="C78">
        <v>1911772</v>
      </c>
    </row>
    <row r="79" spans="1:3" x14ac:dyDescent="0.3">
      <c r="A79">
        <v>78</v>
      </c>
      <c r="B79" t="s">
        <v>88</v>
      </c>
      <c r="C79">
        <v>1784180</v>
      </c>
    </row>
    <row r="80" spans="1:3" x14ac:dyDescent="0.3">
      <c r="A80">
        <v>79</v>
      </c>
      <c r="B80" t="s">
        <v>30</v>
      </c>
      <c r="C80">
        <v>1768410</v>
      </c>
    </row>
    <row r="81" spans="1:3" x14ac:dyDescent="0.3">
      <c r="A81">
        <v>80</v>
      </c>
      <c r="B81" t="s">
        <v>89</v>
      </c>
      <c r="C81">
        <v>1649135</v>
      </c>
    </row>
    <row r="82" spans="1:3" x14ac:dyDescent="0.3">
      <c r="A82">
        <v>81</v>
      </c>
      <c r="B82" t="s">
        <v>90</v>
      </c>
      <c r="C82">
        <v>1610065</v>
      </c>
    </row>
    <row r="83" spans="1:3" x14ac:dyDescent="0.3">
      <c r="A83">
        <v>82</v>
      </c>
      <c r="B83" t="s">
        <v>91</v>
      </c>
      <c r="C83">
        <v>1544400</v>
      </c>
    </row>
    <row r="84" spans="1:3" x14ac:dyDescent="0.3">
      <c r="A84">
        <v>83</v>
      </c>
      <c r="B84" t="s">
        <v>92</v>
      </c>
      <c r="C84">
        <v>1523733</v>
      </c>
    </row>
    <row r="85" spans="1:3" x14ac:dyDescent="0.3">
      <c r="A85">
        <v>84</v>
      </c>
      <c r="B85" t="s">
        <v>2</v>
      </c>
      <c r="C85">
        <v>1437938</v>
      </c>
    </row>
    <row r="86" spans="1:3" x14ac:dyDescent="0.3">
      <c r="A86">
        <v>85</v>
      </c>
      <c r="B86" t="s">
        <v>7</v>
      </c>
      <c r="C86">
        <v>1152085</v>
      </c>
    </row>
    <row r="87" spans="1:3" x14ac:dyDescent="0.3">
      <c r="A87">
        <v>86</v>
      </c>
      <c r="B87" t="s">
        <v>27</v>
      </c>
      <c r="C87">
        <v>1109645</v>
      </c>
    </row>
    <row r="88" spans="1:3" x14ac:dyDescent="0.3">
      <c r="A88">
        <v>87</v>
      </c>
      <c r="B88" t="s">
        <v>93</v>
      </c>
      <c r="C88">
        <v>1014383</v>
      </c>
    </row>
    <row r="89" spans="1:3" x14ac:dyDescent="0.3">
      <c r="A89">
        <v>88</v>
      </c>
      <c r="B89" t="s">
        <v>9</v>
      </c>
      <c r="C89">
        <v>959715</v>
      </c>
    </row>
    <row r="90" spans="1:3" x14ac:dyDescent="0.3">
      <c r="A90">
        <v>89</v>
      </c>
      <c r="B90" t="s">
        <v>6</v>
      </c>
      <c r="C90">
        <v>935625</v>
      </c>
    </row>
    <row r="91" spans="1:3" x14ac:dyDescent="0.3">
      <c r="A91">
        <v>90</v>
      </c>
      <c r="B91" t="s">
        <v>94</v>
      </c>
      <c r="C91">
        <v>922725</v>
      </c>
    </row>
    <row r="92" spans="1:3" x14ac:dyDescent="0.3">
      <c r="A92">
        <v>91</v>
      </c>
      <c r="B92" t="s">
        <v>95</v>
      </c>
      <c r="C92">
        <v>894740</v>
      </c>
    </row>
    <row r="93" spans="1:3" x14ac:dyDescent="0.3">
      <c r="A93">
        <v>92</v>
      </c>
      <c r="B93" t="s">
        <v>8</v>
      </c>
      <c r="C93">
        <v>885310</v>
      </c>
    </row>
    <row r="94" spans="1:3" x14ac:dyDescent="0.3">
      <c r="A94">
        <v>93</v>
      </c>
      <c r="B94" t="s">
        <v>96</v>
      </c>
      <c r="C94">
        <v>701850</v>
      </c>
    </row>
    <row r="95" spans="1:3" x14ac:dyDescent="0.3">
      <c r="A95">
        <v>94</v>
      </c>
      <c r="B95" t="s">
        <v>97</v>
      </c>
      <c r="C95">
        <v>692004</v>
      </c>
    </row>
    <row r="96" spans="1:3" x14ac:dyDescent="0.3">
      <c r="A96">
        <v>95</v>
      </c>
      <c r="B96" t="s">
        <v>98</v>
      </c>
      <c r="C96">
        <v>548600</v>
      </c>
    </row>
    <row r="97" spans="1:3" x14ac:dyDescent="0.3">
      <c r="A97">
        <v>96</v>
      </c>
      <c r="B97" t="s">
        <v>99</v>
      </c>
      <c r="C97">
        <v>531480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45C66-D800-432D-A518-3C3085EBA399}">
  <dimension ref="A1:C101"/>
  <sheetViews>
    <sheetView topLeftCell="A2" workbookViewId="0">
      <selection activeCell="C53" sqref="C53"/>
    </sheetView>
  </sheetViews>
  <sheetFormatPr defaultRowHeight="14.4" x14ac:dyDescent="0.3"/>
  <cols>
    <col min="1" max="1" width="4.5546875" bestFit="1" customWidth="1"/>
    <col min="2" max="2" width="20.21875" bestFit="1" customWidth="1"/>
    <col min="3" max="3" width="9" bestFit="1" customWidth="1"/>
  </cols>
  <sheetData>
    <row r="1" spans="1:3" x14ac:dyDescent="0.3">
      <c r="A1" t="s">
        <v>54</v>
      </c>
      <c r="B1" t="s">
        <v>106</v>
      </c>
      <c r="C1" t="s">
        <v>107</v>
      </c>
    </row>
    <row r="2" spans="1:3" x14ac:dyDescent="0.3">
      <c r="A2">
        <v>1</v>
      </c>
      <c r="B2" t="s">
        <v>60</v>
      </c>
      <c r="C2">
        <v>42986788</v>
      </c>
    </row>
    <row r="3" spans="1:3" x14ac:dyDescent="0.3">
      <c r="A3">
        <v>2</v>
      </c>
      <c r="B3" t="s">
        <v>63</v>
      </c>
      <c r="C3">
        <v>38451162</v>
      </c>
    </row>
    <row r="4" spans="1:3" x14ac:dyDescent="0.3">
      <c r="A4">
        <v>3</v>
      </c>
      <c r="B4" t="s">
        <v>66</v>
      </c>
      <c r="C4">
        <v>33500100</v>
      </c>
    </row>
    <row r="5" spans="1:3" x14ac:dyDescent="0.3">
      <c r="A5">
        <v>4</v>
      </c>
      <c r="B5" t="s">
        <v>50</v>
      </c>
      <c r="C5">
        <v>30396271</v>
      </c>
    </row>
    <row r="6" spans="1:3" x14ac:dyDescent="0.3">
      <c r="A6">
        <v>5</v>
      </c>
      <c r="B6" t="s">
        <v>69</v>
      </c>
      <c r="C6">
        <v>28585390</v>
      </c>
    </row>
    <row r="7" spans="1:3" x14ac:dyDescent="0.3">
      <c r="A7">
        <v>6</v>
      </c>
      <c r="B7" t="s">
        <v>36</v>
      </c>
      <c r="C7">
        <v>26684639</v>
      </c>
    </row>
    <row r="8" spans="1:3" x14ac:dyDescent="0.3">
      <c r="A8">
        <v>7</v>
      </c>
      <c r="B8" t="s">
        <v>25</v>
      </c>
      <c r="C8">
        <v>26145694</v>
      </c>
    </row>
    <row r="9" spans="1:3" x14ac:dyDescent="0.3">
      <c r="A9">
        <v>8</v>
      </c>
      <c r="B9" t="s">
        <v>74</v>
      </c>
      <c r="C9">
        <v>25648467</v>
      </c>
    </row>
    <row r="10" spans="1:3" x14ac:dyDescent="0.3">
      <c r="A10">
        <v>9</v>
      </c>
      <c r="B10" t="s">
        <v>61</v>
      </c>
      <c r="C10">
        <v>25323011</v>
      </c>
    </row>
    <row r="11" spans="1:3" x14ac:dyDescent="0.3">
      <c r="A11">
        <v>10</v>
      </c>
      <c r="B11" t="s">
        <v>100</v>
      </c>
      <c r="C11">
        <v>25115705</v>
      </c>
    </row>
    <row r="12" spans="1:3" x14ac:dyDescent="0.3">
      <c r="A12">
        <v>11</v>
      </c>
      <c r="B12" t="s">
        <v>40</v>
      </c>
      <c r="C12">
        <v>24106900</v>
      </c>
    </row>
    <row r="13" spans="1:3" x14ac:dyDescent="0.3">
      <c r="A13">
        <v>12</v>
      </c>
      <c r="B13" t="s">
        <v>48</v>
      </c>
      <c r="C13">
        <v>23874606</v>
      </c>
    </row>
    <row r="14" spans="1:3" x14ac:dyDescent="0.3">
      <c r="A14">
        <v>13</v>
      </c>
      <c r="B14" t="s">
        <v>77</v>
      </c>
      <c r="C14">
        <v>23418217</v>
      </c>
    </row>
    <row r="15" spans="1:3" x14ac:dyDescent="0.3">
      <c r="A15">
        <v>14</v>
      </c>
      <c r="B15" t="s">
        <v>33</v>
      </c>
      <c r="C15">
        <v>22782331</v>
      </c>
    </row>
    <row r="16" spans="1:3" x14ac:dyDescent="0.3">
      <c r="A16">
        <v>15</v>
      </c>
      <c r="B16" t="s">
        <v>26</v>
      </c>
      <c r="C16">
        <v>22700462</v>
      </c>
    </row>
    <row r="17" spans="1:3" x14ac:dyDescent="0.3">
      <c r="A17">
        <v>16</v>
      </c>
      <c r="B17" t="s">
        <v>75</v>
      </c>
      <c r="C17">
        <v>22556083</v>
      </c>
    </row>
    <row r="18" spans="1:3" x14ac:dyDescent="0.3">
      <c r="A18">
        <v>17</v>
      </c>
      <c r="B18" t="s">
        <v>20</v>
      </c>
      <c r="C18">
        <v>22343250</v>
      </c>
    </row>
    <row r="19" spans="1:3" x14ac:dyDescent="0.3">
      <c r="A19">
        <v>18</v>
      </c>
      <c r="B19" t="s">
        <v>1</v>
      </c>
      <c r="C19">
        <v>21970466</v>
      </c>
    </row>
    <row r="20" spans="1:3" x14ac:dyDescent="0.3">
      <c r="A20">
        <v>19</v>
      </c>
      <c r="B20" t="s">
        <v>64</v>
      </c>
      <c r="C20">
        <v>21965627</v>
      </c>
    </row>
    <row r="21" spans="1:3" x14ac:dyDescent="0.3">
      <c r="A21">
        <v>20</v>
      </c>
      <c r="B21" t="s">
        <v>49</v>
      </c>
      <c r="C21">
        <v>21834920</v>
      </c>
    </row>
    <row r="22" spans="1:3" x14ac:dyDescent="0.3">
      <c r="A22">
        <v>21</v>
      </c>
      <c r="B22" t="s">
        <v>52</v>
      </c>
      <c r="C22">
        <v>21719679</v>
      </c>
    </row>
    <row r="23" spans="1:3" x14ac:dyDescent="0.3">
      <c r="A23">
        <v>22</v>
      </c>
      <c r="B23" t="s">
        <v>23</v>
      </c>
      <c r="C23">
        <v>21474747</v>
      </c>
    </row>
    <row r="24" spans="1:3" x14ac:dyDescent="0.3">
      <c r="A24">
        <v>23</v>
      </c>
      <c r="B24" t="s">
        <v>21</v>
      </c>
      <c r="C24">
        <v>21473942</v>
      </c>
    </row>
    <row r="25" spans="1:3" x14ac:dyDescent="0.3">
      <c r="A25">
        <v>24</v>
      </c>
      <c r="B25" t="s">
        <v>39</v>
      </c>
      <c r="C25">
        <v>20767769</v>
      </c>
    </row>
    <row r="26" spans="1:3" x14ac:dyDescent="0.3">
      <c r="A26">
        <v>25</v>
      </c>
      <c r="B26" t="s">
        <v>19</v>
      </c>
      <c r="C26">
        <v>20276711</v>
      </c>
    </row>
    <row r="27" spans="1:3" x14ac:dyDescent="0.3">
      <c r="A27">
        <v>26</v>
      </c>
      <c r="B27" t="s">
        <v>34</v>
      </c>
      <c r="C27">
        <v>20264949</v>
      </c>
    </row>
    <row r="28" spans="1:3" x14ac:dyDescent="0.3">
      <c r="A28">
        <v>27</v>
      </c>
      <c r="B28" t="s">
        <v>43</v>
      </c>
      <c r="C28">
        <v>20205353</v>
      </c>
    </row>
    <row r="29" spans="1:3" x14ac:dyDescent="0.3">
      <c r="A29">
        <v>28</v>
      </c>
      <c r="B29" t="s">
        <v>5</v>
      </c>
      <c r="C29">
        <v>20175495</v>
      </c>
    </row>
    <row r="30" spans="1:3" x14ac:dyDescent="0.3">
      <c r="A30">
        <v>29</v>
      </c>
      <c r="B30" t="s">
        <v>83</v>
      </c>
      <c r="C30">
        <v>20126375</v>
      </c>
    </row>
    <row r="31" spans="1:3" x14ac:dyDescent="0.3">
      <c r="A31">
        <v>30</v>
      </c>
      <c r="B31" t="s">
        <v>68</v>
      </c>
      <c r="C31">
        <v>19864472</v>
      </c>
    </row>
    <row r="32" spans="1:3" x14ac:dyDescent="0.3">
      <c r="A32">
        <v>31</v>
      </c>
      <c r="B32" t="s">
        <v>101</v>
      </c>
      <c r="C32">
        <v>19357004</v>
      </c>
    </row>
    <row r="33" spans="1:3" x14ac:dyDescent="0.3">
      <c r="A33">
        <v>32</v>
      </c>
      <c r="B33" t="s">
        <v>30</v>
      </c>
      <c r="C33">
        <v>19329210</v>
      </c>
    </row>
    <row r="34" spans="1:3" x14ac:dyDescent="0.3">
      <c r="A34">
        <v>33</v>
      </c>
      <c r="B34" t="s">
        <v>42</v>
      </c>
      <c r="C34">
        <v>19072642</v>
      </c>
    </row>
    <row r="35" spans="1:3" x14ac:dyDescent="0.3">
      <c r="A35">
        <v>34</v>
      </c>
      <c r="B35" t="s">
        <v>72</v>
      </c>
      <c r="C35">
        <v>19015237</v>
      </c>
    </row>
    <row r="36" spans="1:3" x14ac:dyDescent="0.3">
      <c r="A36">
        <v>35</v>
      </c>
      <c r="B36" t="s">
        <v>67</v>
      </c>
      <c r="C36">
        <v>19012659</v>
      </c>
    </row>
    <row r="37" spans="1:3" x14ac:dyDescent="0.3">
      <c r="A37">
        <v>36</v>
      </c>
      <c r="B37" t="s">
        <v>46</v>
      </c>
      <c r="C37">
        <v>18945602</v>
      </c>
    </row>
    <row r="38" spans="1:3" x14ac:dyDescent="0.3">
      <c r="A38">
        <v>37</v>
      </c>
      <c r="B38" t="s">
        <v>2</v>
      </c>
      <c r="C38">
        <v>18937484</v>
      </c>
    </row>
    <row r="39" spans="1:3" x14ac:dyDescent="0.3">
      <c r="A39">
        <v>38</v>
      </c>
      <c r="B39" t="s">
        <v>38</v>
      </c>
      <c r="C39">
        <v>18535206</v>
      </c>
    </row>
    <row r="40" spans="1:3" x14ac:dyDescent="0.3">
      <c r="A40">
        <v>39</v>
      </c>
      <c r="B40" t="s">
        <v>86</v>
      </c>
      <c r="C40">
        <v>18234830</v>
      </c>
    </row>
    <row r="41" spans="1:3" x14ac:dyDescent="0.3">
      <c r="A41">
        <v>40</v>
      </c>
      <c r="B41" t="s">
        <v>102</v>
      </c>
      <c r="C41">
        <v>18183875</v>
      </c>
    </row>
    <row r="42" spans="1:3" x14ac:dyDescent="0.3">
      <c r="A42">
        <v>41</v>
      </c>
      <c r="B42" t="s">
        <v>80</v>
      </c>
      <c r="C42">
        <v>17966681</v>
      </c>
    </row>
    <row r="43" spans="1:3" x14ac:dyDescent="0.3">
      <c r="A43">
        <v>42</v>
      </c>
      <c r="B43" t="s">
        <v>103</v>
      </c>
      <c r="C43">
        <v>17785133</v>
      </c>
    </row>
    <row r="44" spans="1:3" x14ac:dyDescent="0.3">
      <c r="A44">
        <v>43</v>
      </c>
      <c r="B44" t="s">
        <v>11</v>
      </c>
      <c r="C44">
        <v>17705696</v>
      </c>
    </row>
    <row r="45" spans="1:3" x14ac:dyDescent="0.3">
      <c r="A45">
        <v>44</v>
      </c>
      <c r="B45" t="s">
        <v>17</v>
      </c>
      <c r="C45">
        <v>17590063</v>
      </c>
    </row>
    <row r="46" spans="1:3" x14ac:dyDescent="0.3">
      <c r="A46">
        <v>45</v>
      </c>
      <c r="B46" t="s">
        <v>99</v>
      </c>
      <c r="C46">
        <v>17540105</v>
      </c>
    </row>
    <row r="47" spans="1:3" x14ac:dyDescent="0.3">
      <c r="A47">
        <v>46</v>
      </c>
      <c r="B47" t="s">
        <v>95</v>
      </c>
      <c r="C47">
        <v>17505236</v>
      </c>
    </row>
    <row r="48" spans="1:3" x14ac:dyDescent="0.3">
      <c r="A48">
        <v>47</v>
      </c>
      <c r="B48" t="s">
        <v>47</v>
      </c>
      <c r="C48">
        <v>17439878</v>
      </c>
    </row>
    <row r="49" spans="1:3" x14ac:dyDescent="0.3">
      <c r="A49">
        <v>48</v>
      </c>
      <c r="B49" t="s">
        <v>31</v>
      </c>
      <c r="C49">
        <v>17282972</v>
      </c>
    </row>
    <row r="50" spans="1:3" x14ac:dyDescent="0.3">
      <c r="A50">
        <v>49</v>
      </c>
      <c r="B50" t="s">
        <v>28</v>
      </c>
      <c r="C50">
        <v>17113163</v>
      </c>
    </row>
    <row r="51" spans="1:3" x14ac:dyDescent="0.3">
      <c r="A51">
        <v>50</v>
      </c>
      <c r="B51" t="s">
        <v>4</v>
      </c>
      <c r="C51">
        <v>17038910</v>
      </c>
    </row>
    <row r="52" spans="1:3" x14ac:dyDescent="0.3">
      <c r="A52">
        <v>51</v>
      </c>
      <c r="B52" t="s">
        <v>76</v>
      </c>
      <c r="C52">
        <v>16866712</v>
      </c>
    </row>
    <row r="53" spans="1:3" x14ac:dyDescent="0.3">
      <c r="A53">
        <v>52</v>
      </c>
      <c r="B53" t="s">
        <v>22</v>
      </c>
      <c r="C53">
        <v>16865076</v>
      </c>
    </row>
    <row r="54" spans="1:3" x14ac:dyDescent="0.3">
      <c r="A54">
        <v>53</v>
      </c>
      <c r="B54" t="s">
        <v>51</v>
      </c>
      <c r="C54">
        <v>16837866</v>
      </c>
    </row>
    <row r="55" spans="1:3" x14ac:dyDescent="0.3">
      <c r="A55">
        <v>54</v>
      </c>
      <c r="B55" t="s">
        <v>24</v>
      </c>
      <c r="C55">
        <v>16613357</v>
      </c>
    </row>
    <row r="56" spans="1:3" x14ac:dyDescent="0.3">
      <c r="A56">
        <v>55</v>
      </c>
      <c r="B56" t="s">
        <v>9</v>
      </c>
      <c r="C56">
        <v>16597381</v>
      </c>
    </row>
    <row r="57" spans="1:3" x14ac:dyDescent="0.3">
      <c r="A57">
        <v>56</v>
      </c>
      <c r="B57" t="s">
        <v>18</v>
      </c>
      <c r="C57">
        <v>16435246</v>
      </c>
    </row>
    <row r="58" spans="1:3" x14ac:dyDescent="0.3">
      <c r="A58">
        <v>57</v>
      </c>
      <c r="B58" t="s">
        <v>37</v>
      </c>
      <c r="C58">
        <v>16286110</v>
      </c>
    </row>
    <row r="59" spans="1:3" x14ac:dyDescent="0.3">
      <c r="A59">
        <v>58</v>
      </c>
      <c r="B59" t="s">
        <v>44</v>
      </c>
      <c r="C59">
        <v>16283751</v>
      </c>
    </row>
    <row r="60" spans="1:3" x14ac:dyDescent="0.3">
      <c r="A60">
        <v>59</v>
      </c>
      <c r="B60" t="s">
        <v>87</v>
      </c>
      <c r="C60">
        <v>16268725</v>
      </c>
    </row>
    <row r="61" spans="1:3" x14ac:dyDescent="0.3">
      <c r="A61">
        <v>60</v>
      </c>
      <c r="B61" t="s">
        <v>62</v>
      </c>
      <c r="C61">
        <v>16213659</v>
      </c>
    </row>
    <row r="62" spans="1:3" x14ac:dyDescent="0.3">
      <c r="A62">
        <v>61</v>
      </c>
      <c r="B62" t="s">
        <v>10</v>
      </c>
      <c r="C62">
        <v>16143559</v>
      </c>
    </row>
    <row r="63" spans="1:3" x14ac:dyDescent="0.3">
      <c r="A63">
        <v>62</v>
      </c>
      <c r="B63" t="s">
        <v>82</v>
      </c>
      <c r="C63">
        <v>16116026</v>
      </c>
    </row>
    <row r="64" spans="1:3" x14ac:dyDescent="0.3">
      <c r="A64">
        <v>63</v>
      </c>
      <c r="B64" t="s">
        <v>32</v>
      </c>
      <c r="C64">
        <v>16054780</v>
      </c>
    </row>
    <row r="65" spans="1:3" x14ac:dyDescent="0.3">
      <c r="A65">
        <v>64</v>
      </c>
      <c r="B65" t="s">
        <v>14</v>
      </c>
      <c r="C65">
        <v>16019009</v>
      </c>
    </row>
    <row r="66" spans="1:3" x14ac:dyDescent="0.3">
      <c r="A66">
        <v>65</v>
      </c>
      <c r="B66" t="s">
        <v>0</v>
      </c>
      <c r="C66">
        <v>15728355</v>
      </c>
    </row>
    <row r="67" spans="1:3" x14ac:dyDescent="0.3">
      <c r="A67">
        <v>66</v>
      </c>
      <c r="B67" t="s">
        <v>15</v>
      </c>
      <c r="C67">
        <v>15257020</v>
      </c>
    </row>
    <row r="68" spans="1:3" x14ac:dyDescent="0.3">
      <c r="A68">
        <v>67</v>
      </c>
      <c r="B68" t="s">
        <v>88</v>
      </c>
      <c r="C68">
        <v>15213690</v>
      </c>
    </row>
    <row r="69" spans="1:3" x14ac:dyDescent="0.3">
      <c r="A69">
        <v>68</v>
      </c>
      <c r="B69" t="s">
        <v>45</v>
      </c>
      <c r="C69">
        <v>15208939</v>
      </c>
    </row>
    <row r="70" spans="1:3" x14ac:dyDescent="0.3">
      <c r="A70">
        <v>69</v>
      </c>
      <c r="B70" t="s">
        <v>92</v>
      </c>
      <c r="C70">
        <v>15152164</v>
      </c>
    </row>
    <row r="71" spans="1:3" x14ac:dyDescent="0.3">
      <c r="A71">
        <v>70</v>
      </c>
      <c r="B71" t="s">
        <v>6</v>
      </c>
      <c r="C71">
        <v>14981242</v>
      </c>
    </row>
    <row r="72" spans="1:3" x14ac:dyDescent="0.3">
      <c r="A72">
        <v>71</v>
      </c>
      <c r="B72" t="s">
        <v>8</v>
      </c>
      <c r="C72">
        <v>14956578</v>
      </c>
    </row>
    <row r="73" spans="1:3" x14ac:dyDescent="0.3">
      <c r="A73">
        <v>72</v>
      </c>
      <c r="B73" t="s">
        <v>29</v>
      </c>
      <c r="C73">
        <v>14562244</v>
      </c>
    </row>
    <row r="74" spans="1:3" x14ac:dyDescent="0.3">
      <c r="A74">
        <v>73</v>
      </c>
      <c r="B74" t="s">
        <v>41</v>
      </c>
      <c r="C74">
        <v>14491010</v>
      </c>
    </row>
    <row r="75" spans="1:3" x14ac:dyDescent="0.3">
      <c r="A75">
        <v>74</v>
      </c>
      <c r="B75" t="s">
        <v>35</v>
      </c>
      <c r="C75">
        <v>14295737</v>
      </c>
    </row>
    <row r="76" spans="1:3" x14ac:dyDescent="0.3">
      <c r="A76">
        <v>75</v>
      </c>
      <c r="B76" t="s">
        <v>7</v>
      </c>
      <c r="C76">
        <v>14151745</v>
      </c>
    </row>
    <row r="77" spans="1:3" x14ac:dyDescent="0.3">
      <c r="A77">
        <v>76</v>
      </c>
      <c r="B77" t="s">
        <v>94</v>
      </c>
      <c r="C77">
        <v>13936106</v>
      </c>
    </row>
    <row r="78" spans="1:3" x14ac:dyDescent="0.3">
      <c r="A78">
        <v>77</v>
      </c>
      <c r="B78" t="s">
        <v>104</v>
      </c>
      <c r="C78">
        <v>13586729</v>
      </c>
    </row>
    <row r="79" spans="1:3" x14ac:dyDescent="0.3">
      <c r="A79">
        <v>78</v>
      </c>
      <c r="B79" t="s">
        <v>84</v>
      </c>
      <c r="C79">
        <v>13553595</v>
      </c>
    </row>
    <row r="80" spans="1:3" x14ac:dyDescent="0.3">
      <c r="A80">
        <v>79</v>
      </c>
      <c r="B80" t="s">
        <v>55</v>
      </c>
      <c r="C80">
        <v>13281809</v>
      </c>
    </row>
    <row r="81" spans="1:3" x14ac:dyDescent="0.3">
      <c r="A81">
        <v>80</v>
      </c>
      <c r="B81" t="s">
        <v>65</v>
      </c>
      <c r="C81">
        <v>12940061</v>
      </c>
    </row>
    <row r="82" spans="1:3" x14ac:dyDescent="0.3">
      <c r="A82">
        <v>81</v>
      </c>
      <c r="B82" t="s">
        <v>97</v>
      </c>
      <c r="C82">
        <v>12712960</v>
      </c>
    </row>
    <row r="83" spans="1:3" x14ac:dyDescent="0.3">
      <c r="A83">
        <v>82</v>
      </c>
      <c r="B83" t="s">
        <v>85</v>
      </c>
      <c r="C83">
        <v>12440467</v>
      </c>
    </row>
    <row r="84" spans="1:3" x14ac:dyDescent="0.3">
      <c r="A84">
        <v>83</v>
      </c>
      <c r="B84" t="s">
        <v>90</v>
      </c>
      <c r="C84">
        <v>12371637</v>
      </c>
    </row>
    <row r="85" spans="1:3" x14ac:dyDescent="0.3">
      <c r="A85">
        <v>84</v>
      </c>
      <c r="B85" t="s">
        <v>89</v>
      </c>
      <c r="C85">
        <v>12279732</v>
      </c>
    </row>
    <row r="86" spans="1:3" x14ac:dyDescent="0.3">
      <c r="A86">
        <v>85</v>
      </c>
      <c r="B86" t="s">
        <v>13</v>
      </c>
      <c r="C86">
        <v>12183896</v>
      </c>
    </row>
    <row r="87" spans="1:3" x14ac:dyDescent="0.3">
      <c r="A87">
        <v>86</v>
      </c>
      <c r="B87" t="s">
        <v>16</v>
      </c>
      <c r="C87">
        <v>12155206</v>
      </c>
    </row>
    <row r="88" spans="1:3" x14ac:dyDescent="0.3">
      <c r="A88">
        <v>87</v>
      </c>
      <c r="B88" t="s">
        <v>81</v>
      </c>
      <c r="C88">
        <v>11654822</v>
      </c>
    </row>
    <row r="89" spans="1:3" x14ac:dyDescent="0.3">
      <c r="A89">
        <v>88</v>
      </c>
      <c r="B89" t="s">
        <v>73</v>
      </c>
      <c r="C89">
        <v>11569806</v>
      </c>
    </row>
    <row r="90" spans="1:3" x14ac:dyDescent="0.3">
      <c r="A90">
        <v>89</v>
      </c>
      <c r="B90" t="s">
        <v>78</v>
      </c>
      <c r="C90">
        <v>11299986</v>
      </c>
    </row>
    <row r="91" spans="1:3" x14ac:dyDescent="0.3">
      <c r="A91">
        <v>90</v>
      </c>
      <c r="B91" t="s">
        <v>3</v>
      </c>
      <c r="C91">
        <v>11280129</v>
      </c>
    </row>
    <row r="92" spans="1:3" x14ac:dyDescent="0.3">
      <c r="A92">
        <v>91</v>
      </c>
      <c r="B92" t="s">
        <v>12</v>
      </c>
      <c r="C92">
        <v>11078297</v>
      </c>
    </row>
    <row r="93" spans="1:3" x14ac:dyDescent="0.3">
      <c r="A93">
        <v>92</v>
      </c>
      <c r="B93" t="s">
        <v>96</v>
      </c>
      <c r="C93">
        <v>10825922</v>
      </c>
    </row>
    <row r="94" spans="1:3" x14ac:dyDescent="0.3">
      <c r="A94">
        <v>93</v>
      </c>
      <c r="B94" t="s">
        <v>71</v>
      </c>
      <c r="C94">
        <v>10738045</v>
      </c>
    </row>
    <row r="95" spans="1:3" x14ac:dyDescent="0.3">
      <c r="A95">
        <v>94</v>
      </c>
      <c r="B95" t="s">
        <v>27</v>
      </c>
      <c r="C95">
        <v>10641846</v>
      </c>
    </row>
    <row r="96" spans="1:3" x14ac:dyDescent="0.3">
      <c r="A96">
        <v>95</v>
      </c>
      <c r="B96" t="s">
        <v>105</v>
      </c>
      <c r="C96">
        <v>10522529</v>
      </c>
    </row>
    <row r="97" spans="1:3" x14ac:dyDescent="0.3">
      <c r="A97">
        <v>96</v>
      </c>
      <c r="B97" t="s">
        <v>79</v>
      </c>
      <c r="C97">
        <v>9983003</v>
      </c>
    </row>
    <row r="98" spans="1:3" x14ac:dyDescent="0.3">
      <c r="A98">
        <v>97</v>
      </c>
      <c r="B98" t="s">
        <v>93</v>
      </c>
      <c r="C98">
        <v>5997750</v>
      </c>
    </row>
    <row r="99" spans="1:3" x14ac:dyDescent="0.3">
      <c r="A99">
        <v>98</v>
      </c>
      <c r="B99" t="s">
        <v>70</v>
      </c>
      <c r="C99">
        <v>5821797</v>
      </c>
    </row>
    <row r="100" spans="1:3" x14ac:dyDescent="0.3">
      <c r="A100">
        <v>99</v>
      </c>
      <c r="B100" t="s">
        <v>98</v>
      </c>
      <c r="C100">
        <v>2029812</v>
      </c>
    </row>
    <row r="101" spans="1:3" x14ac:dyDescent="0.3">
      <c r="A101">
        <v>100</v>
      </c>
      <c r="B101" t="s">
        <v>91</v>
      </c>
      <c r="C101">
        <v>1595038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A2156-7B37-4F0F-A286-78AC594703A1}">
  <dimension ref="A1:H101"/>
  <sheetViews>
    <sheetView tabSelected="1" workbookViewId="0">
      <selection activeCell="C37" sqref="C37"/>
    </sheetView>
  </sheetViews>
  <sheetFormatPr defaultRowHeight="14.4" x14ac:dyDescent="0.3"/>
  <cols>
    <col min="1" max="1" width="24.109375" customWidth="1"/>
    <col min="2" max="3" width="13.21875" style="3" customWidth="1"/>
    <col min="4" max="4" width="2.88671875" customWidth="1"/>
    <col min="5" max="6" width="13.21875" style="5" customWidth="1"/>
    <col min="7" max="7" width="2.88671875" customWidth="1"/>
    <col min="8" max="8" width="13.21875" style="3" customWidth="1"/>
  </cols>
  <sheetData>
    <row r="1" spans="1:8" s="1" customFormat="1" x14ac:dyDescent="0.3">
      <c r="A1" s="1" t="s">
        <v>53</v>
      </c>
      <c r="B1" s="4" t="s">
        <v>56</v>
      </c>
      <c r="C1" s="4" t="s">
        <v>57</v>
      </c>
      <c r="E1" s="4" t="s">
        <v>56</v>
      </c>
      <c r="F1" s="4" t="s">
        <v>57</v>
      </c>
      <c r="H1" s="2" t="s">
        <v>58</v>
      </c>
    </row>
    <row r="2" spans="1:8" x14ac:dyDescent="0.3">
      <c r="A2" t="s">
        <v>60</v>
      </c>
      <c r="B2">
        <f>VLOOKUP(A2,'vs (thru Wed 740pm)'!$B$2:$C$97,2,FALSE)</f>
        <v>15702055</v>
      </c>
      <c r="C2">
        <f>VLOOKUP(A2,power!$B$2:$C$101,2,FALSE)</f>
        <v>42986788</v>
      </c>
      <c r="E2" s="5">
        <f>PERCENTRANK(B$2:B$96,B2)</f>
        <v>1</v>
      </c>
      <c r="F2" s="5">
        <f>PERCENTRANK(C$2:C$96,C2)</f>
        <v>1</v>
      </c>
      <c r="H2" s="3">
        <f t="shared" ref="H2:H66" si="0">+E2*F2*10000</f>
        <v>10000</v>
      </c>
    </row>
    <row r="3" spans="1:8" x14ac:dyDescent="0.3">
      <c r="A3" t="s">
        <v>63</v>
      </c>
      <c r="B3">
        <f>VLOOKUP(A3,'vs (thru Wed 740pm)'!$B$2:$C$97,2,FALSE)</f>
        <v>5794630</v>
      </c>
      <c r="C3">
        <f>VLOOKUP(A3,power!$B$2:$C$101,2,FALSE)</f>
        <v>38451162</v>
      </c>
      <c r="E3" s="5">
        <f t="shared" ref="E3:E66" si="1">PERCENTRANK(B$2:B$96,B3)</f>
        <v>0.90400000000000003</v>
      </c>
      <c r="F3" s="5">
        <f t="shared" ref="F3:F66" si="2">PERCENTRANK(C$2:C$96,C3)</f>
        <v>0.98899999999999999</v>
      </c>
      <c r="H3" s="3">
        <f t="shared" si="0"/>
        <v>8940.56</v>
      </c>
    </row>
    <row r="4" spans="1:8" x14ac:dyDescent="0.3">
      <c r="A4" t="s">
        <v>66</v>
      </c>
      <c r="B4">
        <f>VLOOKUP(A4,'vs (thru Wed 740pm)'!$B$2:$C$97,2,FALSE)</f>
        <v>4737953</v>
      </c>
      <c r="C4">
        <f>VLOOKUP(A4,power!$B$2:$C$101,2,FALSE)</f>
        <v>33500100</v>
      </c>
      <c r="E4" s="5">
        <f t="shared" si="1"/>
        <v>0.80800000000000005</v>
      </c>
      <c r="F4" s="5">
        <f t="shared" si="2"/>
        <v>0.97799999999999998</v>
      </c>
      <c r="H4" s="3">
        <f t="shared" si="0"/>
        <v>7902.2400000000007</v>
      </c>
    </row>
    <row r="5" spans="1:8" x14ac:dyDescent="0.3">
      <c r="A5" t="s">
        <v>50</v>
      </c>
      <c r="B5">
        <f>VLOOKUP(A5,'vs (thru Wed 740pm)'!$B$2:$C$97,2,FALSE)</f>
        <v>8401268</v>
      </c>
      <c r="C5">
        <f>VLOOKUP(A5,power!$B$2:$C$101,2,FALSE)</f>
        <v>30396271</v>
      </c>
      <c r="E5" s="5">
        <f t="shared" si="1"/>
        <v>0.95699999999999996</v>
      </c>
      <c r="F5" s="5">
        <f t="shared" si="2"/>
        <v>0.96799999999999997</v>
      </c>
      <c r="H5" s="3">
        <f t="shared" si="0"/>
        <v>9263.76</v>
      </c>
    </row>
    <row r="6" spans="1:8" x14ac:dyDescent="0.3">
      <c r="A6" t="s">
        <v>69</v>
      </c>
      <c r="B6">
        <f>VLOOKUP(A6,'vs (thru Wed 740pm)'!$B$2:$C$97,2,FALSE)</f>
        <v>4627335</v>
      </c>
      <c r="C6">
        <f>VLOOKUP(A6,power!$B$2:$C$101,2,FALSE)</f>
        <v>28585390</v>
      </c>
      <c r="E6" s="5">
        <f t="shared" si="1"/>
        <v>0.77600000000000002</v>
      </c>
      <c r="F6" s="5">
        <f t="shared" si="2"/>
        <v>0.95699999999999996</v>
      </c>
      <c r="H6" s="3">
        <f t="shared" si="0"/>
        <v>7426.32</v>
      </c>
    </row>
    <row r="7" spans="1:8" x14ac:dyDescent="0.3">
      <c r="A7" t="s">
        <v>36</v>
      </c>
      <c r="B7">
        <f>VLOOKUP(A7,'vs (thru Wed 740pm)'!$B$2:$C$97,2,FALSE)</f>
        <v>3641493</v>
      </c>
      <c r="C7">
        <f>VLOOKUP(A7,power!$B$2:$C$101,2,FALSE)</f>
        <v>26684639</v>
      </c>
      <c r="E7" s="5">
        <f t="shared" si="1"/>
        <v>0.627</v>
      </c>
      <c r="F7" s="5">
        <f t="shared" si="2"/>
        <v>0.94599999999999995</v>
      </c>
      <c r="H7" s="3">
        <f t="shared" si="0"/>
        <v>5931.4199999999992</v>
      </c>
    </row>
    <row r="8" spans="1:8" x14ac:dyDescent="0.3">
      <c r="A8" t="s">
        <v>25</v>
      </c>
      <c r="B8">
        <f>VLOOKUP(A8,'vs (thru Wed 740pm)'!$B$2:$C$97,2,FALSE)</f>
        <v>2644035</v>
      </c>
      <c r="C8">
        <f>VLOOKUP(A8,power!$B$2:$C$101,2,FALSE)</f>
        <v>26145694</v>
      </c>
      <c r="E8" s="5">
        <f t="shared" si="1"/>
        <v>0.41399999999999998</v>
      </c>
      <c r="F8" s="5">
        <f t="shared" si="2"/>
        <v>0.93600000000000005</v>
      </c>
      <c r="H8" s="3">
        <f t="shared" si="0"/>
        <v>3875.04</v>
      </c>
    </row>
    <row r="9" spans="1:8" x14ac:dyDescent="0.3">
      <c r="A9" t="s">
        <v>74</v>
      </c>
      <c r="B9">
        <f>VLOOKUP(A9,'vs (thru Wed 740pm)'!$B$2:$C$97,2,FALSE)</f>
        <v>3491725</v>
      </c>
      <c r="C9">
        <f>VLOOKUP(A9,power!$B$2:$C$101,2,FALSE)</f>
        <v>25648467</v>
      </c>
      <c r="E9" s="5">
        <f t="shared" si="1"/>
        <v>0.60599999999999998</v>
      </c>
      <c r="F9" s="5">
        <f t="shared" si="2"/>
        <v>0.92500000000000004</v>
      </c>
      <c r="H9" s="3">
        <f t="shared" si="0"/>
        <v>5605.5</v>
      </c>
    </row>
    <row r="10" spans="1:8" x14ac:dyDescent="0.3">
      <c r="A10" t="s">
        <v>61</v>
      </c>
      <c r="B10">
        <f>VLOOKUP(A10,'vs (thru Wed 740pm)'!$B$2:$C$97,2,FALSE)</f>
        <v>8611927</v>
      </c>
      <c r="C10">
        <f>VLOOKUP(A10,power!$B$2:$C$101,2,FALSE)</f>
        <v>25323011</v>
      </c>
      <c r="E10" s="5">
        <f t="shared" si="1"/>
        <v>0.96799999999999997</v>
      </c>
      <c r="F10" s="5">
        <f t="shared" si="2"/>
        <v>0.91400000000000003</v>
      </c>
      <c r="H10" s="3">
        <f t="shared" si="0"/>
        <v>8847.52</v>
      </c>
    </row>
    <row r="11" spans="1:8" x14ac:dyDescent="0.3">
      <c r="A11" t="s">
        <v>100</v>
      </c>
      <c r="B11" s="6">
        <v>0</v>
      </c>
      <c r="C11">
        <f>VLOOKUP(A11,power!$B$2:$C$101,2,FALSE)</f>
        <v>25115705</v>
      </c>
      <c r="E11" s="5">
        <f t="shared" si="1"/>
        <v>0</v>
      </c>
      <c r="F11" s="5">
        <f t="shared" si="2"/>
        <v>0.90400000000000003</v>
      </c>
      <c r="H11" s="3">
        <f t="shared" si="0"/>
        <v>0</v>
      </c>
    </row>
    <row r="12" spans="1:8" x14ac:dyDescent="0.3">
      <c r="A12" t="s">
        <v>40</v>
      </c>
      <c r="B12">
        <f>VLOOKUP(A12,'vs (thru Wed 740pm)'!$B$2:$C$97,2,FALSE)</f>
        <v>2853030</v>
      </c>
      <c r="C12">
        <f>VLOOKUP(A12,power!$B$2:$C$101,2,FALSE)</f>
        <v>24106900</v>
      </c>
      <c r="E12" s="5">
        <f t="shared" si="1"/>
        <v>0.45700000000000002</v>
      </c>
      <c r="F12" s="5">
        <f t="shared" si="2"/>
        <v>0.89300000000000002</v>
      </c>
      <c r="H12" s="3">
        <f t="shared" si="0"/>
        <v>4081.0100000000007</v>
      </c>
    </row>
    <row r="13" spans="1:8" x14ac:dyDescent="0.3">
      <c r="A13" t="s">
        <v>48</v>
      </c>
      <c r="B13">
        <f>VLOOKUP(A13,'vs (thru Wed 740pm)'!$B$2:$C$97,2,FALSE)</f>
        <v>6070432</v>
      </c>
      <c r="C13">
        <f>VLOOKUP(A13,power!$B$2:$C$101,2,FALSE)</f>
        <v>23874606</v>
      </c>
      <c r="E13" s="5">
        <f t="shared" si="1"/>
        <v>0.92500000000000004</v>
      </c>
      <c r="F13" s="5">
        <f t="shared" si="2"/>
        <v>0.88200000000000001</v>
      </c>
      <c r="H13" s="3">
        <f t="shared" si="0"/>
        <v>8158.5000000000009</v>
      </c>
    </row>
    <row r="14" spans="1:8" x14ac:dyDescent="0.3">
      <c r="A14" t="s">
        <v>77</v>
      </c>
      <c r="B14">
        <f>VLOOKUP(A14,'vs (thru Wed 740pm)'!$B$2:$C$97,2,FALSE)</f>
        <v>3087825</v>
      </c>
      <c r="C14">
        <f>VLOOKUP(A14,power!$B$2:$C$101,2,FALSE)</f>
        <v>23418217</v>
      </c>
      <c r="E14" s="5">
        <f t="shared" si="1"/>
        <v>0.48899999999999999</v>
      </c>
      <c r="F14" s="5">
        <f t="shared" si="2"/>
        <v>0.872</v>
      </c>
      <c r="H14" s="3">
        <f t="shared" si="0"/>
        <v>4264.08</v>
      </c>
    </row>
    <row r="15" spans="1:8" x14ac:dyDescent="0.3">
      <c r="A15" t="s">
        <v>33</v>
      </c>
      <c r="B15">
        <f>VLOOKUP(A15,'vs (thru Wed 740pm)'!$B$2:$C$97,2,FALSE)</f>
        <v>3810506</v>
      </c>
      <c r="C15">
        <f>VLOOKUP(A15,power!$B$2:$C$101,2,FALSE)</f>
        <v>22782331</v>
      </c>
      <c r="E15" s="5">
        <f t="shared" si="1"/>
        <v>0.67</v>
      </c>
      <c r="F15" s="5">
        <f t="shared" si="2"/>
        <v>0.86099999999999999</v>
      </c>
      <c r="H15" s="3">
        <f t="shared" si="0"/>
        <v>5768.7</v>
      </c>
    </row>
    <row r="16" spans="1:8" x14ac:dyDescent="0.3">
      <c r="A16" t="s">
        <v>26</v>
      </c>
      <c r="B16">
        <f>VLOOKUP(A16,'vs (thru Wed 740pm)'!$B$2:$C$97,2,FALSE)</f>
        <v>3826667</v>
      </c>
      <c r="C16">
        <f>VLOOKUP(A16,power!$B$2:$C$101,2,FALSE)</f>
        <v>22700462</v>
      </c>
      <c r="E16" s="5">
        <f t="shared" si="1"/>
        <v>0.68</v>
      </c>
      <c r="F16" s="5">
        <f t="shared" si="2"/>
        <v>0.85099999999999998</v>
      </c>
      <c r="H16" s="3">
        <f t="shared" si="0"/>
        <v>5786.7999999999993</v>
      </c>
    </row>
    <row r="17" spans="1:8" x14ac:dyDescent="0.3">
      <c r="A17" t="s">
        <v>75</v>
      </c>
      <c r="B17">
        <f>VLOOKUP(A17,'vs (thru Wed 740pm)'!$B$2:$C$97,2,FALSE)</f>
        <v>3363330</v>
      </c>
      <c r="C17">
        <f>VLOOKUP(A17,power!$B$2:$C$101,2,FALSE)</f>
        <v>22556083</v>
      </c>
      <c r="E17" s="5">
        <f t="shared" si="1"/>
        <v>0.57399999999999995</v>
      </c>
      <c r="F17" s="5">
        <f t="shared" si="2"/>
        <v>0.84</v>
      </c>
      <c r="H17" s="3">
        <f t="shared" si="0"/>
        <v>4821.5999999999995</v>
      </c>
    </row>
    <row r="18" spans="1:8" x14ac:dyDescent="0.3">
      <c r="A18" t="s">
        <v>20</v>
      </c>
      <c r="B18">
        <f>VLOOKUP(A18,'vs (thru Wed 740pm)'!$B$2:$C$97,2,FALSE)</f>
        <v>4546105</v>
      </c>
      <c r="C18">
        <f>VLOOKUP(A18,power!$B$2:$C$101,2,FALSE)</f>
        <v>22343250</v>
      </c>
      <c r="E18" s="5">
        <f t="shared" si="1"/>
        <v>0.76500000000000001</v>
      </c>
      <c r="F18" s="5">
        <f t="shared" si="2"/>
        <v>0.82899999999999996</v>
      </c>
      <c r="H18" s="3">
        <f t="shared" si="0"/>
        <v>6341.85</v>
      </c>
    </row>
    <row r="19" spans="1:8" x14ac:dyDescent="0.3">
      <c r="A19" t="s">
        <v>1</v>
      </c>
      <c r="B19">
        <f>VLOOKUP(A19,'vs (thru Wed 740pm)'!$B$2:$C$97,2,FALSE)</f>
        <v>5499645</v>
      </c>
      <c r="C19">
        <f>VLOOKUP(A19,power!$B$2:$C$101,2,FALSE)</f>
        <v>21970466</v>
      </c>
      <c r="E19" s="5">
        <f t="shared" si="1"/>
        <v>0.88200000000000001</v>
      </c>
      <c r="F19" s="5">
        <f t="shared" si="2"/>
        <v>0.81899999999999995</v>
      </c>
      <c r="H19" s="3">
        <f t="shared" si="0"/>
        <v>7223.579999999999</v>
      </c>
    </row>
    <row r="20" spans="1:8" x14ac:dyDescent="0.3">
      <c r="A20" t="s">
        <v>64</v>
      </c>
      <c r="B20">
        <f>VLOOKUP(A20,'vs (thru Wed 740pm)'!$B$2:$C$97,2,FALSE)</f>
        <v>4792980</v>
      </c>
      <c r="C20">
        <f>VLOOKUP(A20,power!$B$2:$C$101,2,FALSE)</f>
        <v>21965627</v>
      </c>
      <c r="E20" s="5">
        <f t="shared" si="1"/>
        <v>0.84</v>
      </c>
      <c r="F20" s="5">
        <f t="shared" si="2"/>
        <v>0.80800000000000005</v>
      </c>
      <c r="H20" s="3">
        <f t="shared" si="0"/>
        <v>6787.2</v>
      </c>
    </row>
    <row r="21" spans="1:8" x14ac:dyDescent="0.3">
      <c r="A21" t="s">
        <v>49</v>
      </c>
      <c r="B21">
        <f>VLOOKUP(A21,'vs (thru Wed 740pm)'!$B$2:$C$97,2,FALSE)</f>
        <v>12214971</v>
      </c>
      <c r="C21">
        <f>VLOOKUP(A21,power!$B$2:$C$101,2,FALSE)</f>
        <v>21834920</v>
      </c>
      <c r="E21" s="5">
        <f t="shared" si="1"/>
        <v>0.98899999999999999</v>
      </c>
      <c r="F21" s="5">
        <f t="shared" si="2"/>
        <v>0.79700000000000004</v>
      </c>
      <c r="H21" s="3">
        <f t="shared" si="0"/>
        <v>7882.3300000000008</v>
      </c>
    </row>
    <row r="22" spans="1:8" x14ac:dyDescent="0.3">
      <c r="A22" t="s">
        <v>52</v>
      </c>
      <c r="B22">
        <f>VLOOKUP(A22,'vs (thru Wed 740pm)'!$B$2:$C$97,2,FALSE)</f>
        <v>3176420</v>
      </c>
      <c r="C22">
        <f>VLOOKUP(A22,power!$B$2:$C$101,2,FALSE)</f>
        <v>21719679</v>
      </c>
      <c r="E22" s="5">
        <f t="shared" si="1"/>
        <v>0.53100000000000003</v>
      </c>
      <c r="F22" s="5">
        <f t="shared" si="2"/>
        <v>0.78700000000000003</v>
      </c>
      <c r="H22" s="3">
        <f t="shared" si="0"/>
        <v>4178.97</v>
      </c>
    </row>
    <row r="23" spans="1:8" x14ac:dyDescent="0.3">
      <c r="A23" t="s">
        <v>23</v>
      </c>
      <c r="B23">
        <f>VLOOKUP(A23,'vs (thru Wed 740pm)'!$B$2:$C$97,2,FALSE)</f>
        <v>2158459</v>
      </c>
      <c r="C23">
        <f>VLOOKUP(A23,power!$B$2:$C$101,2,FALSE)</f>
        <v>21474747</v>
      </c>
      <c r="E23" s="5">
        <f t="shared" si="1"/>
        <v>0.29699999999999999</v>
      </c>
      <c r="F23" s="5">
        <f t="shared" si="2"/>
        <v>0.77600000000000002</v>
      </c>
      <c r="H23" s="3">
        <f t="shared" si="0"/>
        <v>2304.7199999999998</v>
      </c>
    </row>
    <row r="24" spans="1:8" x14ac:dyDescent="0.3">
      <c r="A24" t="s">
        <v>21</v>
      </c>
      <c r="B24">
        <f>VLOOKUP(A24,'vs (thru Wed 740pm)'!$B$2:$C$97,2,FALSE)</f>
        <v>2356849</v>
      </c>
      <c r="C24">
        <f>VLOOKUP(A24,power!$B$2:$C$101,2,FALSE)</f>
        <v>21473942</v>
      </c>
      <c r="E24" s="5">
        <f t="shared" si="1"/>
        <v>0.38200000000000001</v>
      </c>
      <c r="F24" s="5">
        <f t="shared" si="2"/>
        <v>0.76500000000000001</v>
      </c>
      <c r="H24" s="3">
        <f t="shared" si="0"/>
        <v>2922.2999999999997</v>
      </c>
    </row>
    <row r="25" spans="1:8" x14ac:dyDescent="0.3">
      <c r="A25" t="s">
        <v>39</v>
      </c>
      <c r="B25">
        <f>VLOOKUP(A25,'vs (thru Wed 740pm)'!$B$2:$C$97,2,FALSE)</f>
        <v>4150745</v>
      </c>
      <c r="C25">
        <f>VLOOKUP(A25,power!$B$2:$C$101,2,FALSE)</f>
        <v>20767769</v>
      </c>
      <c r="E25" s="5">
        <f t="shared" si="1"/>
        <v>0.74399999999999999</v>
      </c>
      <c r="F25" s="5">
        <f t="shared" si="2"/>
        <v>0.755</v>
      </c>
      <c r="H25" s="3">
        <f t="shared" si="0"/>
        <v>5617.2</v>
      </c>
    </row>
    <row r="26" spans="1:8" x14ac:dyDescent="0.3">
      <c r="A26" t="s">
        <v>19</v>
      </c>
      <c r="B26">
        <f>VLOOKUP(A26,'vs (thru Wed 740pm)'!$B$2:$C$97,2,FALSE)</f>
        <v>4992116</v>
      </c>
      <c r="C26">
        <f>VLOOKUP(A26,power!$B$2:$C$101,2,FALSE)</f>
        <v>20276711</v>
      </c>
      <c r="E26" s="5">
        <f t="shared" si="1"/>
        <v>0.86099999999999999</v>
      </c>
      <c r="F26" s="5">
        <f t="shared" si="2"/>
        <v>0.74399999999999999</v>
      </c>
      <c r="H26" s="3">
        <f t="shared" si="0"/>
        <v>6405.8399999999992</v>
      </c>
    </row>
    <row r="27" spans="1:8" x14ac:dyDescent="0.3">
      <c r="A27" t="s">
        <v>34</v>
      </c>
      <c r="B27">
        <f>VLOOKUP(A27,'vs (thru Wed 740pm)'!$B$2:$C$97,2,FALSE)</f>
        <v>6311179</v>
      </c>
      <c r="C27">
        <f>VLOOKUP(A27,power!$B$2:$C$101,2,FALSE)</f>
        <v>20264949</v>
      </c>
      <c r="E27" s="5">
        <f t="shared" si="1"/>
        <v>0.94599999999999995</v>
      </c>
      <c r="F27" s="5">
        <f t="shared" si="2"/>
        <v>0.73399999999999999</v>
      </c>
      <c r="H27" s="3">
        <f t="shared" si="0"/>
        <v>6943.6399999999994</v>
      </c>
    </row>
    <row r="28" spans="1:8" x14ac:dyDescent="0.3">
      <c r="A28" t="s">
        <v>43</v>
      </c>
      <c r="B28">
        <f>VLOOKUP(A28,'vs (thru Wed 740pm)'!$B$2:$C$97,2,FALSE)</f>
        <v>9119649</v>
      </c>
      <c r="C28">
        <f>VLOOKUP(A28,power!$B$2:$C$101,2,FALSE)</f>
        <v>20205353</v>
      </c>
      <c r="E28" s="5">
        <f t="shared" si="1"/>
        <v>0.97799999999999998</v>
      </c>
      <c r="F28" s="5">
        <f t="shared" si="2"/>
        <v>0.72299999999999998</v>
      </c>
      <c r="H28" s="3">
        <f t="shared" si="0"/>
        <v>7070.94</v>
      </c>
    </row>
    <row r="29" spans="1:8" x14ac:dyDescent="0.3">
      <c r="A29" t="s">
        <v>5</v>
      </c>
      <c r="B29">
        <f>VLOOKUP(A29,'vs (thru Wed 740pm)'!$B$2:$C$97,2,FALSE)</f>
        <v>2592515</v>
      </c>
      <c r="C29">
        <f>VLOOKUP(A29,power!$B$2:$C$101,2,FALSE)</f>
        <v>20175495</v>
      </c>
      <c r="E29" s="5">
        <f t="shared" si="1"/>
        <v>0.39300000000000002</v>
      </c>
      <c r="F29" s="5">
        <f t="shared" si="2"/>
        <v>0.71199999999999997</v>
      </c>
      <c r="H29" s="3">
        <f t="shared" si="0"/>
        <v>2798.1600000000003</v>
      </c>
    </row>
    <row r="30" spans="1:8" x14ac:dyDescent="0.3">
      <c r="A30" t="s">
        <v>83</v>
      </c>
      <c r="B30">
        <f>VLOOKUP(A30,'vs (thru Wed 740pm)'!$B$2:$C$97,2,FALSE)</f>
        <v>2192925</v>
      </c>
      <c r="C30">
        <f>VLOOKUP(A30,power!$B$2:$C$101,2,FALSE)</f>
        <v>20126375</v>
      </c>
      <c r="E30" s="5">
        <f t="shared" si="1"/>
        <v>0.308</v>
      </c>
      <c r="F30" s="5">
        <f t="shared" si="2"/>
        <v>0.70199999999999996</v>
      </c>
      <c r="H30" s="3">
        <f t="shared" si="0"/>
        <v>2162.16</v>
      </c>
    </row>
    <row r="31" spans="1:8" x14ac:dyDescent="0.3">
      <c r="A31" t="s">
        <v>68</v>
      </c>
      <c r="B31">
        <f>VLOOKUP(A31,'vs (thru Wed 740pm)'!$B$2:$C$97,2,FALSE)</f>
        <v>4647868</v>
      </c>
      <c r="C31">
        <f>VLOOKUP(A31,power!$B$2:$C$101,2,FALSE)</f>
        <v>19864472</v>
      </c>
      <c r="E31" s="5">
        <f t="shared" si="1"/>
        <v>0.78700000000000003</v>
      </c>
      <c r="F31" s="5">
        <f t="shared" si="2"/>
        <v>0.69099999999999995</v>
      </c>
      <c r="H31" s="3">
        <f t="shared" si="0"/>
        <v>5438.17</v>
      </c>
    </row>
    <row r="32" spans="1:8" x14ac:dyDescent="0.3">
      <c r="A32" t="s">
        <v>101</v>
      </c>
      <c r="B32">
        <f>VLOOKUP(A32,'vs (thru Wed 740pm)'!$B$2:$C$97,2,FALSE)</f>
        <v>2342828</v>
      </c>
      <c r="C32">
        <f>VLOOKUP(A32,power!$B$2:$C$101,2,FALSE)</f>
        <v>19357004</v>
      </c>
      <c r="E32" s="5">
        <f t="shared" si="1"/>
        <v>0.372</v>
      </c>
      <c r="F32" s="5">
        <f t="shared" si="2"/>
        <v>0.68</v>
      </c>
      <c r="H32" s="3">
        <f t="shared" si="0"/>
        <v>2529.6000000000004</v>
      </c>
    </row>
    <row r="33" spans="1:8" x14ac:dyDescent="0.3">
      <c r="A33" t="s">
        <v>30</v>
      </c>
      <c r="B33">
        <f>VLOOKUP(A33,'vs (thru Wed 740pm)'!$B$2:$C$97,2,FALSE)</f>
        <v>1768410</v>
      </c>
      <c r="C33">
        <f>VLOOKUP(A33,power!$B$2:$C$101,2,FALSE)</f>
        <v>19329210</v>
      </c>
      <c r="E33" s="5">
        <f t="shared" si="1"/>
        <v>0.191</v>
      </c>
      <c r="F33" s="5">
        <f t="shared" si="2"/>
        <v>0.67</v>
      </c>
      <c r="H33" s="3">
        <f t="shared" si="0"/>
        <v>1279.7</v>
      </c>
    </row>
    <row r="34" spans="1:8" x14ac:dyDescent="0.3">
      <c r="A34" t="s">
        <v>42</v>
      </c>
      <c r="B34">
        <f>VLOOKUP(A34,'vs (thru Wed 740pm)'!$B$2:$C$97,2,FALSE)</f>
        <v>3509465</v>
      </c>
      <c r="C34">
        <f>VLOOKUP(A34,power!$B$2:$C$101,2,FALSE)</f>
        <v>19072642</v>
      </c>
      <c r="E34" s="5">
        <f t="shared" si="1"/>
        <v>0.61699999999999999</v>
      </c>
      <c r="F34" s="5">
        <f t="shared" si="2"/>
        <v>0.65900000000000003</v>
      </c>
      <c r="H34" s="3">
        <f t="shared" si="0"/>
        <v>4066.0299999999997</v>
      </c>
    </row>
    <row r="35" spans="1:8" x14ac:dyDescent="0.3">
      <c r="A35" t="s">
        <v>72</v>
      </c>
      <c r="B35">
        <f>VLOOKUP(A35,'vs (thru Wed 740pm)'!$B$2:$C$97,2,FALSE)</f>
        <v>4011219</v>
      </c>
      <c r="C35">
        <f>VLOOKUP(A35,power!$B$2:$C$101,2,FALSE)</f>
        <v>19015237</v>
      </c>
      <c r="E35" s="5">
        <f t="shared" si="1"/>
        <v>0.70199999999999996</v>
      </c>
      <c r="F35" s="5">
        <f t="shared" si="2"/>
        <v>0.64800000000000002</v>
      </c>
      <c r="H35" s="3">
        <f t="shared" si="0"/>
        <v>4548.96</v>
      </c>
    </row>
    <row r="36" spans="1:8" x14ac:dyDescent="0.3">
      <c r="A36" t="s">
        <v>67</v>
      </c>
      <c r="B36">
        <f>VLOOKUP(A36,'vs (thru Wed 740pm)'!$B$2:$C$97,2,FALSE)</f>
        <v>4714228</v>
      </c>
      <c r="C36">
        <f>VLOOKUP(A36,power!$B$2:$C$101,2,FALSE)</f>
        <v>19012659</v>
      </c>
      <c r="E36" s="5">
        <f t="shared" si="1"/>
        <v>0.79700000000000004</v>
      </c>
      <c r="F36" s="5">
        <f t="shared" si="2"/>
        <v>0.63800000000000001</v>
      </c>
      <c r="H36" s="3">
        <f t="shared" si="0"/>
        <v>5084.8599999999997</v>
      </c>
    </row>
    <row r="37" spans="1:8" x14ac:dyDescent="0.3">
      <c r="A37" t="s">
        <v>46</v>
      </c>
      <c r="B37">
        <f>VLOOKUP(A37,'vs (thru Wed 740pm)'!$B$2:$C$97,2,FALSE)</f>
        <v>3307184</v>
      </c>
      <c r="C37">
        <f>VLOOKUP(A37,power!$B$2:$C$101,2,FALSE)</f>
        <v>18945602</v>
      </c>
      <c r="E37" s="5">
        <f t="shared" si="1"/>
        <v>0.56299999999999994</v>
      </c>
      <c r="F37" s="5">
        <f t="shared" si="2"/>
        <v>0.627</v>
      </c>
      <c r="H37" s="3">
        <f t="shared" si="0"/>
        <v>3530.0099999999998</v>
      </c>
    </row>
    <row r="38" spans="1:8" x14ac:dyDescent="0.3">
      <c r="A38" t="s">
        <v>2</v>
      </c>
      <c r="B38">
        <f>VLOOKUP(A38,'vs (thru Wed 740pm)'!$B$2:$C$97,2,FALSE)</f>
        <v>1437938</v>
      </c>
      <c r="C38">
        <f>VLOOKUP(A38,power!$B$2:$C$101,2,FALSE)</f>
        <v>18937484</v>
      </c>
      <c r="E38" s="5">
        <f t="shared" si="1"/>
        <v>0.14799999999999999</v>
      </c>
      <c r="F38" s="5">
        <f t="shared" si="2"/>
        <v>0.61699999999999999</v>
      </c>
      <c r="H38" s="3">
        <f t="shared" si="0"/>
        <v>913.16</v>
      </c>
    </row>
    <row r="39" spans="1:8" x14ac:dyDescent="0.3">
      <c r="A39" t="s">
        <v>38</v>
      </c>
      <c r="B39">
        <f>VLOOKUP(A39,'vs (thru Wed 740pm)'!$B$2:$C$97,2,FALSE)</f>
        <v>1911772</v>
      </c>
      <c r="C39">
        <f>VLOOKUP(A39,power!$B$2:$C$101,2,FALSE)</f>
        <v>18535206</v>
      </c>
      <c r="E39" s="5">
        <f t="shared" si="1"/>
        <v>0.21199999999999999</v>
      </c>
      <c r="F39" s="5">
        <f t="shared" si="2"/>
        <v>0.60599999999999998</v>
      </c>
      <c r="H39" s="3">
        <f t="shared" si="0"/>
        <v>1284.72</v>
      </c>
    </row>
    <row r="40" spans="1:8" x14ac:dyDescent="0.3">
      <c r="A40" t="s">
        <v>86</v>
      </c>
      <c r="B40">
        <f>VLOOKUP(A40,'vs (thru Wed 740pm)'!$B$2:$C$97,2,FALSE)</f>
        <v>2024897</v>
      </c>
      <c r="C40">
        <f>VLOOKUP(A40,power!$B$2:$C$101,2,FALSE)</f>
        <v>18234830</v>
      </c>
      <c r="E40" s="5">
        <f t="shared" si="1"/>
        <v>0.24399999999999999</v>
      </c>
      <c r="F40" s="5">
        <f t="shared" si="2"/>
        <v>0.59499999999999997</v>
      </c>
      <c r="H40" s="3">
        <f t="shared" si="0"/>
        <v>1451.8</v>
      </c>
    </row>
    <row r="41" spans="1:8" x14ac:dyDescent="0.3">
      <c r="A41" t="s">
        <v>102</v>
      </c>
      <c r="B41">
        <f>VLOOKUP(A41,'vs (thru Wed 740pm)'!$B$2:$C$97,2,FALSE)</f>
        <v>3804815</v>
      </c>
      <c r="C41">
        <f>VLOOKUP(A41,power!$B$2:$C$101,2,FALSE)</f>
        <v>18183875</v>
      </c>
      <c r="E41" s="5">
        <f t="shared" si="1"/>
        <v>0.65900000000000003</v>
      </c>
      <c r="F41" s="5">
        <f t="shared" si="2"/>
        <v>0.58499999999999996</v>
      </c>
      <c r="H41" s="3">
        <f t="shared" si="0"/>
        <v>3855.15</v>
      </c>
    </row>
    <row r="42" spans="1:8" x14ac:dyDescent="0.3">
      <c r="A42" t="s">
        <v>80</v>
      </c>
      <c r="B42">
        <f>VLOOKUP(A42,'vs (thru Wed 740pm)'!$B$2:$C$97,2,FALSE)</f>
        <v>2722105</v>
      </c>
      <c r="C42">
        <f>VLOOKUP(A42,power!$B$2:$C$101,2,FALSE)</f>
        <v>17966681</v>
      </c>
      <c r="E42" s="5">
        <f t="shared" si="1"/>
        <v>0.42499999999999999</v>
      </c>
      <c r="F42" s="5">
        <f t="shared" si="2"/>
        <v>0.57399999999999995</v>
      </c>
      <c r="H42" s="3">
        <f t="shared" si="0"/>
        <v>2439.4999999999995</v>
      </c>
    </row>
    <row r="43" spans="1:8" x14ac:dyDescent="0.3">
      <c r="A43" t="s">
        <v>103</v>
      </c>
      <c r="B43" s="6">
        <v>0</v>
      </c>
      <c r="C43">
        <f>VLOOKUP(A43,power!$B$2:$C$101,2,FALSE)</f>
        <v>17785133</v>
      </c>
      <c r="E43" s="5">
        <f t="shared" si="1"/>
        <v>0</v>
      </c>
      <c r="F43" s="5">
        <f t="shared" si="2"/>
        <v>0.56299999999999994</v>
      </c>
      <c r="H43" s="3">
        <f t="shared" si="0"/>
        <v>0</v>
      </c>
    </row>
    <row r="44" spans="1:8" x14ac:dyDescent="0.3">
      <c r="A44" t="s">
        <v>11</v>
      </c>
      <c r="B44">
        <f>VLOOKUP(A44,'vs (thru Wed 740pm)'!$B$2:$C$97,2,FALSE)</f>
        <v>2034260</v>
      </c>
      <c r="C44">
        <f>VLOOKUP(A44,power!$B$2:$C$101,2,FALSE)</f>
        <v>17705696</v>
      </c>
      <c r="E44" s="5">
        <f t="shared" si="1"/>
        <v>0.26500000000000001</v>
      </c>
      <c r="F44" s="5">
        <f t="shared" si="2"/>
        <v>0.55300000000000005</v>
      </c>
      <c r="H44" s="3">
        <f t="shared" si="0"/>
        <v>1465.45</v>
      </c>
    </row>
    <row r="45" spans="1:8" x14ac:dyDescent="0.3">
      <c r="A45" t="s">
        <v>17</v>
      </c>
      <c r="B45">
        <f>VLOOKUP(A45,'vs (thru Wed 740pm)'!$B$2:$C$97,2,FALSE)</f>
        <v>2851320</v>
      </c>
      <c r="C45">
        <f>VLOOKUP(A45,power!$B$2:$C$101,2,FALSE)</f>
        <v>17590063</v>
      </c>
      <c r="E45" s="5">
        <f t="shared" si="1"/>
        <v>0.44600000000000001</v>
      </c>
      <c r="F45" s="5">
        <f t="shared" si="2"/>
        <v>0.54200000000000004</v>
      </c>
      <c r="H45" s="3">
        <f t="shared" si="0"/>
        <v>2417.3200000000002</v>
      </c>
    </row>
    <row r="46" spans="1:8" x14ac:dyDescent="0.3">
      <c r="A46" t="s">
        <v>99</v>
      </c>
      <c r="B46">
        <f>VLOOKUP(A46,'vs (thru Wed 740pm)'!$B$2:$C$97,2,FALSE)</f>
        <v>531480</v>
      </c>
      <c r="C46">
        <f>VLOOKUP(A46,power!$B$2:$C$101,2,FALSE)</f>
        <v>17540105</v>
      </c>
      <c r="E46" s="5">
        <f t="shared" si="1"/>
        <v>4.2000000000000003E-2</v>
      </c>
      <c r="F46" s="5">
        <f t="shared" si="2"/>
        <v>0.53100000000000003</v>
      </c>
      <c r="H46" s="3">
        <f t="shared" si="0"/>
        <v>223.02</v>
      </c>
    </row>
    <row r="47" spans="1:8" x14ac:dyDescent="0.3">
      <c r="A47" t="s">
        <v>95</v>
      </c>
      <c r="B47">
        <f>VLOOKUP(A47,'vs (thru Wed 740pm)'!$B$2:$C$97,2,FALSE)</f>
        <v>894740</v>
      </c>
      <c r="C47">
        <f>VLOOKUP(A47,power!$B$2:$C$101,2,FALSE)</f>
        <v>17505236</v>
      </c>
      <c r="E47" s="5">
        <f t="shared" si="1"/>
        <v>8.5000000000000006E-2</v>
      </c>
      <c r="F47" s="5">
        <f t="shared" si="2"/>
        <v>0.52100000000000002</v>
      </c>
      <c r="H47" s="3">
        <f t="shared" si="0"/>
        <v>442.85</v>
      </c>
    </row>
    <row r="48" spans="1:8" x14ac:dyDescent="0.3">
      <c r="A48" t="s">
        <v>47</v>
      </c>
      <c r="B48">
        <f>VLOOKUP(A48,'vs (thru Wed 740pm)'!$B$2:$C$97,2,FALSE)</f>
        <v>5827820</v>
      </c>
      <c r="C48">
        <f>VLOOKUP(A48,power!$B$2:$C$101,2,FALSE)</f>
        <v>17439878</v>
      </c>
      <c r="E48" s="5">
        <f t="shared" si="1"/>
        <v>0.91400000000000003</v>
      </c>
      <c r="F48" s="5">
        <f t="shared" si="2"/>
        <v>0.51</v>
      </c>
      <c r="H48" s="3">
        <f t="shared" si="0"/>
        <v>4661.3999999999996</v>
      </c>
    </row>
    <row r="49" spans="1:8" x14ac:dyDescent="0.3">
      <c r="A49" t="s">
        <v>31</v>
      </c>
      <c r="B49">
        <f>VLOOKUP(A49,'vs (thru Wed 740pm)'!$B$2:$C$97,2,FALSE)</f>
        <v>3135488</v>
      </c>
      <c r="C49">
        <f>VLOOKUP(A49,power!$B$2:$C$101,2,FALSE)</f>
        <v>17282972</v>
      </c>
      <c r="E49" s="5">
        <f t="shared" si="1"/>
        <v>0.51</v>
      </c>
      <c r="F49" s="5">
        <f t="shared" si="2"/>
        <v>0.5</v>
      </c>
      <c r="H49" s="3">
        <f t="shared" si="0"/>
        <v>2550</v>
      </c>
    </row>
    <row r="50" spans="1:8" x14ac:dyDescent="0.3">
      <c r="A50" t="s">
        <v>28</v>
      </c>
      <c r="B50">
        <f>VLOOKUP(A50,'vs (thru Wed 740pm)'!$B$2:$C$97,2,FALSE)</f>
        <v>4109114</v>
      </c>
      <c r="C50">
        <f>VLOOKUP(A50,power!$B$2:$C$101,2,FALSE)</f>
        <v>17113163</v>
      </c>
      <c r="E50" s="5">
        <f t="shared" si="1"/>
        <v>0.72299999999999998</v>
      </c>
      <c r="F50" s="5">
        <f t="shared" si="2"/>
        <v>0.48899999999999999</v>
      </c>
      <c r="H50" s="3">
        <f t="shared" si="0"/>
        <v>3535.47</v>
      </c>
    </row>
    <row r="51" spans="1:8" x14ac:dyDescent="0.3">
      <c r="A51" t="s">
        <v>4</v>
      </c>
      <c r="B51">
        <f>VLOOKUP(A51,'vs (thru Wed 740pm)'!$B$2:$C$97,2,FALSE)</f>
        <v>2871198</v>
      </c>
      <c r="C51">
        <f>VLOOKUP(A51,power!$B$2:$C$101,2,FALSE)</f>
        <v>17038910</v>
      </c>
      <c r="E51" s="5">
        <f t="shared" si="1"/>
        <v>0.46800000000000003</v>
      </c>
      <c r="F51" s="5">
        <f t="shared" si="2"/>
        <v>0.47799999999999998</v>
      </c>
      <c r="H51" s="3">
        <f t="shared" si="0"/>
        <v>2237.04</v>
      </c>
    </row>
    <row r="52" spans="1:8" x14ac:dyDescent="0.3">
      <c r="A52" t="s">
        <v>76</v>
      </c>
      <c r="B52">
        <f>VLOOKUP(A52,'vs (thru Wed 740pm)'!$B$2:$C$97,2,FALSE)</f>
        <v>3160555</v>
      </c>
      <c r="C52">
        <f>VLOOKUP(A52,power!$B$2:$C$101,2,FALSE)</f>
        <v>16866712</v>
      </c>
      <c r="E52" s="5">
        <f t="shared" si="1"/>
        <v>0.52100000000000002</v>
      </c>
      <c r="F52" s="5">
        <f t="shared" si="2"/>
        <v>0.46800000000000003</v>
      </c>
      <c r="H52" s="3">
        <f t="shared" si="0"/>
        <v>2438.2800000000002</v>
      </c>
    </row>
    <row r="53" spans="1:8" x14ac:dyDescent="0.3">
      <c r="A53" t="s">
        <v>22</v>
      </c>
      <c r="B53">
        <f>VLOOKUP(A53,'vs (thru Wed 740pm)'!$B$2:$C$97,2,FALSE)</f>
        <v>2766515</v>
      </c>
      <c r="C53">
        <f>VLOOKUP(A53,power!$B$2:$C$101,2,FALSE)</f>
        <v>16865076</v>
      </c>
      <c r="E53" s="5">
        <f t="shared" si="1"/>
        <v>0.436</v>
      </c>
      <c r="F53" s="5">
        <f t="shared" si="2"/>
        <v>0.45700000000000002</v>
      </c>
      <c r="H53" s="3">
        <f t="shared" si="0"/>
        <v>1992.5200000000002</v>
      </c>
    </row>
    <row r="54" spans="1:8" x14ac:dyDescent="0.3">
      <c r="A54" t="s">
        <v>51</v>
      </c>
      <c r="B54">
        <f>VLOOKUP(A54,'vs (thru Wed 740pm)'!$B$2:$C$97,2,FALSE)</f>
        <v>5693755</v>
      </c>
      <c r="C54">
        <f>VLOOKUP(A54,power!$B$2:$C$101,2,FALSE)</f>
        <v>16837866</v>
      </c>
      <c r="E54" s="5">
        <f t="shared" si="1"/>
        <v>0.89300000000000002</v>
      </c>
      <c r="F54" s="5">
        <f t="shared" si="2"/>
        <v>0.44600000000000001</v>
      </c>
      <c r="H54" s="3">
        <f t="shared" si="0"/>
        <v>3982.78</v>
      </c>
    </row>
    <row r="55" spans="1:8" x14ac:dyDescent="0.3">
      <c r="A55" t="s">
        <v>24</v>
      </c>
      <c r="B55">
        <f>VLOOKUP(A55,'vs (thru Wed 740pm)'!$B$2:$C$97,2,FALSE)</f>
        <v>5314806</v>
      </c>
      <c r="C55">
        <f>VLOOKUP(A55,power!$B$2:$C$101,2,FALSE)</f>
        <v>16613357</v>
      </c>
      <c r="E55" s="5">
        <f t="shared" si="1"/>
        <v>0.872</v>
      </c>
      <c r="F55" s="5">
        <f t="shared" si="2"/>
        <v>0.436</v>
      </c>
      <c r="H55" s="3">
        <f t="shared" si="0"/>
        <v>3801.9199999999996</v>
      </c>
    </row>
    <row r="56" spans="1:8" x14ac:dyDescent="0.3">
      <c r="A56" t="s">
        <v>9</v>
      </c>
      <c r="B56">
        <f>VLOOKUP(A56,'vs (thru Wed 740pm)'!$B$2:$C$97,2,FALSE)</f>
        <v>959715</v>
      </c>
      <c r="C56">
        <f>VLOOKUP(A56,power!$B$2:$C$101,2,FALSE)</f>
        <v>16597381</v>
      </c>
      <c r="E56" s="5">
        <f t="shared" si="1"/>
        <v>0.11700000000000001</v>
      </c>
      <c r="F56" s="5">
        <f t="shared" si="2"/>
        <v>0.42499999999999999</v>
      </c>
      <c r="H56" s="3">
        <f t="shared" si="0"/>
        <v>497.25</v>
      </c>
    </row>
    <row r="57" spans="1:8" x14ac:dyDescent="0.3">
      <c r="A57" t="s">
        <v>18</v>
      </c>
      <c r="B57">
        <f>VLOOKUP(A57,'vs (thru Wed 740pm)'!$B$2:$C$97,2,FALSE)</f>
        <v>3433393</v>
      </c>
      <c r="C57">
        <f>VLOOKUP(A57,power!$B$2:$C$101,2,FALSE)</f>
        <v>16435246</v>
      </c>
      <c r="E57" s="5">
        <f t="shared" si="1"/>
        <v>0.59499999999999997</v>
      </c>
      <c r="F57" s="5">
        <f t="shared" si="2"/>
        <v>0.41399999999999998</v>
      </c>
      <c r="H57" s="3">
        <f t="shared" si="0"/>
        <v>2463.2999999999997</v>
      </c>
    </row>
    <row r="58" spans="1:8" x14ac:dyDescent="0.3">
      <c r="A58" t="s">
        <v>37</v>
      </c>
      <c r="B58">
        <f>VLOOKUP(A58,'vs (thru Wed 740pm)'!$B$2:$C$97,2,FALSE)</f>
        <v>3370400</v>
      </c>
      <c r="C58">
        <f>VLOOKUP(A58,power!$B$2:$C$101,2,FALSE)</f>
        <v>16286110</v>
      </c>
      <c r="E58" s="5">
        <f t="shared" si="1"/>
        <v>0.58499999999999996</v>
      </c>
      <c r="F58" s="5">
        <f t="shared" si="2"/>
        <v>0.40400000000000003</v>
      </c>
      <c r="H58" s="3">
        <f t="shared" si="0"/>
        <v>2363.4</v>
      </c>
    </row>
    <row r="59" spans="1:8" x14ac:dyDescent="0.3">
      <c r="A59" t="s">
        <v>44</v>
      </c>
      <c r="B59">
        <f>VLOOKUP(A59,'vs (thru Wed 740pm)'!$B$2:$C$97,2,FALSE)</f>
        <v>4789200</v>
      </c>
      <c r="C59">
        <f>VLOOKUP(A59,power!$B$2:$C$101,2,FALSE)</f>
        <v>16283751</v>
      </c>
      <c r="E59" s="5">
        <f t="shared" si="1"/>
        <v>0.81899999999999995</v>
      </c>
      <c r="F59" s="5">
        <f t="shared" si="2"/>
        <v>0.39300000000000002</v>
      </c>
      <c r="H59" s="3">
        <f t="shared" si="0"/>
        <v>3218.67</v>
      </c>
    </row>
    <row r="60" spans="1:8" x14ac:dyDescent="0.3">
      <c r="A60" t="s">
        <v>87</v>
      </c>
      <c r="B60">
        <f>VLOOKUP(A60,'vs (thru Wed 740pm)'!$B$2:$C$97,2,FALSE)</f>
        <v>1976858</v>
      </c>
      <c r="C60">
        <f>VLOOKUP(A60,power!$B$2:$C$101,2,FALSE)</f>
        <v>16268725</v>
      </c>
      <c r="E60" s="5">
        <f t="shared" si="1"/>
        <v>0.23400000000000001</v>
      </c>
      <c r="F60" s="5">
        <f t="shared" si="2"/>
        <v>0.38200000000000001</v>
      </c>
      <c r="H60" s="3">
        <f t="shared" si="0"/>
        <v>893.88000000000011</v>
      </c>
    </row>
    <row r="61" spans="1:8" x14ac:dyDescent="0.3">
      <c r="A61" t="s">
        <v>62</v>
      </c>
      <c r="B61">
        <f>VLOOKUP(A61,'vs (thru Wed 740pm)'!$B$2:$C$97,2,FALSE)</f>
        <v>6194536</v>
      </c>
      <c r="C61">
        <f>VLOOKUP(A61,power!$B$2:$C$101,2,FALSE)</f>
        <v>16213659</v>
      </c>
      <c r="E61" s="5">
        <f t="shared" si="1"/>
        <v>0.93600000000000005</v>
      </c>
      <c r="F61" s="5">
        <f t="shared" si="2"/>
        <v>0.372</v>
      </c>
      <c r="H61" s="3">
        <f t="shared" si="0"/>
        <v>3481.92</v>
      </c>
    </row>
    <row r="62" spans="1:8" x14ac:dyDescent="0.3">
      <c r="A62" t="s">
        <v>10</v>
      </c>
      <c r="B62">
        <f>VLOOKUP(A62,'vs (thru Wed 740pm)'!$B$2:$C$97,2,FALSE)</f>
        <v>2315865</v>
      </c>
      <c r="C62">
        <f>VLOOKUP(A62,power!$B$2:$C$101,2,FALSE)</f>
        <v>16143559</v>
      </c>
      <c r="E62" s="5">
        <f t="shared" si="1"/>
        <v>0.35099999999999998</v>
      </c>
      <c r="F62" s="5">
        <f t="shared" si="2"/>
        <v>0.36099999999999999</v>
      </c>
      <c r="H62" s="3">
        <f t="shared" si="0"/>
        <v>1267.1099999999999</v>
      </c>
    </row>
    <row r="63" spans="1:8" x14ac:dyDescent="0.3">
      <c r="A63" t="s">
        <v>82</v>
      </c>
      <c r="B63">
        <f>VLOOKUP(A63,'vs (thru Wed 740pm)'!$B$2:$C$97,2,FALSE)</f>
        <v>2217385</v>
      </c>
      <c r="C63">
        <f>VLOOKUP(A63,power!$B$2:$C$101,2,FALSE)</f>
        <v>16116026</v>
      </c>
      <c r="E63" s="5">
        <f t="shared" si="1"/>
        <v>0.31900000000000001</v>
      </c>
      <c r="F63" s="5">
        <f t="shared" si="2"/>
        <v>0.35099999999999998</v>
      </c>
      <c r="H63" s="3">
        <f t="shared" si="0"/>
        <v>1119.69</v>
      </c>
    </row>
    <row r="64" spans="1:8" x14ac:dyDescent="0.3">
      <c r="A64" t="s">
        <v>32</v>
      </c>
      <c r="B64">
        <f>VLOOKUP(A64,'vs (thru Wed 740pm)'!$B$2:$C$97,2,FALSE)</f>
        <v>2071567</v>
      </c>
      <c r="C64">
        <f>VLOOKUP(A64,power!$B$2:$C$101,2,FALSE)</f>
        <v>16054780</v>
      </c>
      <c r="E64" s="5">
        <f t="shared" si="1"/>
        <v>0.27600000000000002</v>
      </c>
      <c r="F64" s="5">
        <f t="shared" si="2"/>
        <v>0.34</v>
      </c>
      <c r="H64" s="3">
        <f t="shared" si="0"/>
        <v>938.4000000000002</v>
      </c>
    </row>
    <row r="65" spans="1:8" x14ac:dyDescent="0.3">
      <c r="A65" t="s">
        <v>14</v>
      </c>
      <c r="B65">
        <f>VLOOKUP(A65,'vs (thru Wed 740pm)'!$B$2:$C$97,2,FALSE)</f>
        <v>2321953</v>
      </c>
      <c r="C65">
        <f>VLOOKUP(A65,power!$B$2:$C$101,2,FALSE)</f>
        <v>16019009</v>
      </c>
      <c r="E65" s="5">
        <f t="shared" si="1"/>
        <v>0.36099999999999999</v>
      </c>
      <c r="F65" s="5">
        <f t="shared" si="2"/>
        <v>0.32900000000000001</v>
      </c>
      <c r="H65" s="3">
        <f t="shared" si="0"/>
        <v>1187.69</v>
      </c>
    </row>
    <row r="66" spans="1:8" x14ac:dyDescent="0.3">
      <c r="A66" t="s">
        <v>0</v>
      </c>
      <c r="B66">
        <f>VLOOKUP(A66,'vs (thru Wed 740pm)'!$B$2:$C$97,2,FALSE)</f>
        <v>4365881</v>
      </c>
      <c r="C66">
        <f>VLOOKUP(A66,power!$B$2:$C$101,2,FALSE)</f>
        <v>15728355</v>
      </c>
      <c r="E66" s="5">
        <f t="shared" si="1"/>
        <v>0.755</v>
      </c>
      <c r="F66" s="5">
        <f t="shared" si="2"/>
        <v>0.31900000000000001</v>
      </c>
      <c r="H66" s="3">
        <f t="shared" si="0"/>
        <v>2408.4499999999998</v>
      </c>
    </row>
    <row r="67" spans="1:8" x14ac:dyDescent="0.3">
      <c r="A67" t="s">
        <v>15</v>
      </c>
      <c r="B67">
        <f>VLOOKUP(A67,'vs (thru Wed 740pm)'!$B$2:$C$97,2,FALSE)</f>
        <v>2640978</v>
      </c>
      <c r="C67">
        <f>VLOOKUP(A67,power!$B$2:$C$101,2,FALSE)</f>
        <v>15257020</v>
      </c>
      <c r="E67" s="5">
        <f t="shared" ref="E67:E96" si="3">PERCENTRANK(B$2:B$96,B67)</f>
        <v>0.40400000000000003</v>
      </c>
      <c r="F67" s="5">
        <f t="shared" ref="F67:F96" si="4">PERCENTRANK(C$2:C$96,C67)</f>
        <v>0.308</v>
      </c>
      <c r="H67" s="3">
        <f t="shared" ref="H67:H96" si="5">+E67*F67*10000</f>
        <v>1244.32</v>
      </c>
    </row>
    <row r="68" spans="1:8" x14ac:dyDescent="0.3">
      <c r="A68" t="s">
        <v>88</v>
      </c>
      <c r="B68">
        <f>VLOOKUP(A68,'vs (thru Wed 740pm)'!$B$2:$C$97,2,FALSE)</f>
        <v>1784180</v>
      </c>
      <c r="C68">
        <f>VLOOKUP(A68,power!$B$2:$C$101,2,FALSE)</f>
        <v>15213690</v>
      </c>
      <c r="E68" s="5">
        <f t="shared" si="3"/>
        <v>0.20200000000000001</v>
      </c>
      <c r="F68" s="5">
        <f t="shared" si="4"/>
        <v>0.29699999999999999</v>
      </c>
      <c r="H68" s="3">
        <f t="shared" si="5"/>
        <v>599.93999999999994</v>
      </c>
    </row>
    <row r="69" spans="1:8" x14ac:dyDescent="0.3">
      <c r="A69" t="s">
        <v>45</v>
      </c>
      <c r="B69">
        <f>VLOOKUP(A69,'vs (thru Wed 740pm)'!$B$2:$C$97,2,FALSE)</f>
        <v>3643650</v>
      </c>
      <c r="C69">
        <f>VLOOKUP(A69,power!$B$2:$C$101,2,FALSE)</f>
        <v>15208939</v>
      </c>
      <c r="E69" s="5">
        <f t="shared" si="3"/>
        <v>0.63800000000000001</v>
      </c>
      <c r="F69" s="5">
        <f t="shared" si="4"/>
        <v>0.28699999999999998</v>
      </c>
      <c r="H69" s="3">
        <f t="shared" si="5"/>
        <v>1831.06</v>
      </c>
    </row>
    <row r="70" spans="1:8" x14ac:dyDescent="0.3">
      <c r="A70" t="s">
        <v>92</v>
      </c>
      <c r="B70">
        <f>VLOOKUP(A70,'vs (thru Wed 740pm)'!$B$2:$C$97,2,FALSE)</f>
        <v>1523733</v>
      </c>
      <c r="C70">
        <f>VLOOKUP(A70,power!$B$2:$C$101,2,FALSE)</f>
        <v>15152164</v>
      </c>
      <c r="E70" s="5">
        <f t="shared" si="3"/>
        <v>0.159</v>
      </c>
      <c r="F70" s="5">
        <f t="shared" si="4"/>
        <v>0.27600000000000002</v>
      </c>
      <c r="H70" s="3">
        <f t="shared" si="5"/>
        <v>438.84000000000009</v>
      </c>
    </row>
    <row r="71" spans="1:8" x14ac:dyDescent="0.3">
      <c r="A71" t="s">
        <v>6</v>
      </c>
      <c r="B71">
        <f>VLOOKUP(A71,'vs (thru Wed 740pm)'!$B$2:$C$97,2,FALSE)</f>
        <v>935625</v>
      </c>
      <c r="C71">
        <f>VLOOKUP(A71,power!$B$2:$C$101,2,FALSE)</f>
        <v>14981242</v>
      </c>
      <c r="E71" s="5">
        <f t="shared" si="3"/>
        <v>0.106</v>
      </c>
      <c r="F71" s="5">
        <f t="shared" si="4"/>
        <v>0.26500000000000001</v>
      </c>
      <c r="H71" s="3">
        <f t="shared" si="5"/>
        <v>280.89999999999998</v>
      </c>
    </row>
    <row r="72" spans="1:8" x14ac:dyDescent="0.3">
      <c r="A72" t="s">
        <v>8</v>
      </c>
      <c r="B72">
        <f>VLOOKUP(A72,'vs (thru Wed 740pm)'!$B$2:$C$97,2,FALSE)</f>
        <v>885310</v>
      </c>
      <c r="C72">
        <f>VLOOKUP(A72,power!$B$2:$C$101,2,FALSE)</f>
        <v>14956578</v>
      </c>
      <c r="E72" s="5">
        <f t="shared" si="3"/>
        <v>7.3999999999999996E-2</v>
      </c>
      <c r="F72" s="5">
        <f t="shared" si="4"/>
        <v>0.255</v>
      </c>
      <c r="H72" s="3">
        <f t="shared" si="5"/>
        <v>188.7</v>
      </c>
    </row>
    <row r="73" spans="1:8" x14ac:dyDescent="0.3">
      <c r="A73" t="s">
        <v>29</v>
      </c>
      <c r="B73">
        <f>VLOOKUP(A73,'vs (thru Wed 740pm)'!$B$2:$C$97,2,FALSE)</f>
        <v>4150228</v>
      </c>
      <c r="C73">
        <f>VLOOKUP(A73,power!$B$2:$C$101,2,FALSE)</f>
        <v>14562244</v>
      </c>
      <c r="E73" s="5">
        <f t="shared" si="3"/>
        <v>0.73399999999999999</v>
      </c>
      <c r="F73" s="5">
        <f t="shared" si="4"/>
        <v>0.24399999999999999</v>
      </c>
      <c r="H73" s="3">
        <f t="shared" si="5"/>
        <v>1790.96</v>
      </c>
    </row>
    <row r="74" spans="1:8" x14ac:dyDescent="0.3">
      <c r="A74" t="s">
        <v>41</v>
      </c>
      <c r="B74">
        <f>VLOOKUP(A74,'vs (thru Wed 740pm)'!$B$2:$C$97,2,FALSE)</f>
        <v>1936160</v>
      </c>
      <c r="C74">
        <f>VLOOKUP(A74,power!$B$2:$C$101,2,FALSE)</f>
        <v>14491010</v>
      </c>
      <c r="E74" s="5">
        <f t="shared" si="3"/>
        <v>0.223</v>
      </c>
      <c r="F74" s="5">
        <f t="shared" si="4"/>
        <v>0.23400000000000001</v>
      </c>
      <c r="H74" s="3">
        <f t="shared" si="5"/>
        <v>521.82000000000005</v>
      </c>
    </row>
    <row r="75" spans="1:8" x14ac:dyDescent="0.3">
      <c r="A75" t="s">
        <v>35</v>
      </c>
      <c r="B75">
        <f>VLOOKUP(A75,'vs (thru Wed 740pm)'!$B$2:$C$97,2,FALSE)</f>
        <v>3185355</v>
      </c>
      <c r="C75">
        <f>VLOOKUP(A75,power!$B$2:$C$101,2,FALSE)</f>
        <v>14295737</v>
      </c>
      <c r="E75" s="5">
        <f t="shared" si="3"/>
        <v>0.54200000000000004</v>
      </c>
      <c r="F75" s="5">
        <f t="shared" si="4"/>
        <v>0.223</v>
      </c>
      <c r="H75" s="3">
        <f t="shared" si="5"/>
        <v>1208.6600000000001</v>
      </c>
    </row>
    <row r="76" spans="1:8" x14ac:dyDescent="0.3">
      <c r="A76" t="s">
        <v>7</v>
      </c>
      <c r="B76">
        <f>VLOOKUP(A76,'vs (thru Wed 740pm)'!$B$2:$C$97,2,FALSE)</f>
        <v>1152085</v>
      </c>
      <c r="C76">
        <f>VLOOKUP(A76,power!$B$2:$C$101,2,FALSE)</f>
        <v>14151745</v>
      </c>
      <c r="E76" s="5">
        <f t="shared" si="3"/>
        <v>0.13800000000000001</v>
      </c>
      <c r="F76" s="5">
        <f t="shared" si="4"/>
        <v>0.21199999999999999</v>
      </c>
      <c r="H76" s="3">
        <f t="shared" si="5"/>
        <v>292.56</v>
      </c>
    </row>
    <row r="77" spans="1:8" x14ac:dyDescent="0.3">
      <c r="A77" t="s">
        <v>94</v>
      </c>
      <c r="B77">
        <f>VLOOKUP(A77,'vs (thru Wed 740pm)'!$B$2:$C$97,2,FALSE)</f>
        <v>922725</v>
      </c>
      <c r="C77">
        <f>VLOOKUP(A77,power!$B$2:$C$101,2,FALSE)</f>
        <v>13936106</v>
      </c>
      <c r="E77" s="5">
        <f t="shared" si="3"/>
        <v>9.5000000000000001E-2</v>
      </c>
      <c r="F77" s="5">
        <f t="shared" si="4"/>
        <v>0.20200000000000001</v>
      </c>
      <c r="H77" s="3">
        <f t="shared" si="5"/>
        <v>191.90000000000003</v>
      </c>
    </row>
    <row r="78" spans="1:8" x14ac:dyDescent="0.3">
      <c r="A78" t="s">
        <v>104</v>
      </c>
      <c r="B78" s="6">
        <v>0</v>
      </c>
      <c r="C78">
        <f>VLOOKUP(A78,power!$B$2:$C$101,2,FALSE)</f>
        <v>13586729</v>
      </c>
      <c r="E78" s="5">
        <f t="shared" si="3"/>
        <v>0</v>
      </c>
      <c r="F78" s="5">
        <f t="shared" si="4"/>
        <v>0.191</v>
      </c>
      <c r="H78" s="3">
        <f t="shared" si="5"/>
        <v>0</v>
      </c>
    </row>
    <row r="79" spans="1:8" x14ac:dyDescent="0.3">
      <c r="A79" t="s">
        <v>84</v>
      </c>
      <c r="B79">
        <f>VLOOKUP(A79,'vs (thru Wed 740pm)'!$B$2:$C$97,2,FALSE)</f>
        <v>2075935</v>
      </c>
      <c r="C79">
        <f>VLOOKUP(A79,power!$B$2:$C$101,2,FALSE)</f>
        <v>13553595</v>
      </c>
      <c r="E79" s="5">
        <f t="shared" si="3"/>
        <v>0.28699999999999998</v>
      </c>
      <c r="F79" s="5">
        <f t="shared" si="4"/>
        <v>0.18</v>
      </c>
      <c r="H79" s="3">
        <f t="shared" si="5"/>
        <v>516.59999999999991</v>
      </c>
    </row>
    <row r="80" spans="1:8" x14ac:dyDescent="0.3">
      <c r="A80" t="s">
        <v>55</v>
      </c>
      <c r="B80">
        <f>VLOOKUP(A80,'vs (thru Wed 740pm)'!$B$2:$C$97,2,FALSE)</f>
        <v>3198516</v>
      </c>
      <c r="C80">
        <f>VLOOKUP(A80,power!$B$2:$C$101,2,FALSE)</f>
        <v>13281809</v>
      </c>
      <c r="E80" s="5">
        <f t="shared" si="3"/>
        <v>0.55300000000000005</v>
      </c>
      <c r="F80" s="5">
        <f t="shared" si="4"/>
        <v>0.17</v>
      </c>
      <c r="H80" s="3">
        <f t="shared" si="5"/>
        <v>940.10000000000014</v>
      </c>
    </row>
    <row r="81" spans="1:8" x14ac:dyDescent="0.3">
      <c r="A81" t="s">
        <v>65</v>
      </c>
      <c r="B81">
        <f>VLOOKUP(A81,'vs (thru Wed 740pm)'!$B$2:$C$97,2,FALSE)</f>
        <v>4791169</v>
      </c>
      <c r="C81">
        <f>VLOOKUP(A81,power!$B$2:$C$101,2,FALSE)</f>
        <v>12940061</v>
      </c>
      <c r="E81" s="5">
        <f t="shared" si="3"/>
        <v>0.82899999999999996</v>
      </c>
      <c r="F81" s="5">
        <f t="shared" si="4"/>
        <v>0.159</v>
      </c>
      <c r="H81" s="3">
        <f t="shared" si="5"/>
        <v>1318.11</v>
      </c>
    </row>
    <row r="82" spans="1:8" x14ac:dyDescent="0.3">
      <c r="A82" t="s">
        <v>97</v>
      </c>
      <c r="B82">
        <f>VLOOKUP(A82,'vs (thru Wed 740pm)'!$B$2:$C$97,2,FALSE)</f>
        <v>692004</v>
      </c>
      <c r="C82">
        <f>VLOOKUP(A82,power!$B$2:$C$101,2,FALSE)</f>
        <v>12712960</v>
      </c>
      <c r="E82" s="5">
        <f t="shared" si="3"/>
        <v>5.2999999999999999E-2</v>
      </c>
      <c r="F82" s="5">
        <f t="shared" si="4"/>
        <v>0.14799999999999999</v>
      </c>
      <c r="H82" s="3">
        <f t="shared" si="5"/>
        <v>78.439999999999984</v>
      </c>
    </row>
    <row r="83" spans="1:8" x14ac:dyDescent="0.3">
      <c r="A83" t="s">
        <v>85</v>
      </c>
      <c r="B83">
        <f>VLOOKUP(A83,'vs (thru Wed 740pm)'!$B$2:$C$97,2,FALSE)</f>
        <v>2025230</v>
      </c>
      <c r="C83">
        <f>VLOOKUP(A83,power!$B$2:$C$101,2,FALSE)</f>
        <v>12440467</v>
      </c>
      <c r="E83" s="5">
        <f t="shared" si="3"/>
        <v>0.255</v>
      </c>
      <c r="F83" s="5">
        <f t="shared" si="4"/>
        <v>0.13800000000000001</v>
      </c>
      <c r="H83" s="3">
        <f t="shared" si="5"/>
        <v>351.90000000000003</v>
      </c>
    </row>
    <row r="84" spans="1:8" x14ac:dyDescent="0.3">
      <c r="A84" t="s">
        <v>90</v>
      </c>
      <c r="B84">
        <f>VLOOKUP(A84,'vs (thru Wed 740pm)'!$B$2:$C$97,2,FALSE)</f>
        <v>1610065</v>
      </c>
      <c r="C84">
        <f>VLOOKUP(A84,power!$B$2:$C$101,2,FALSE)</f>
        <v>12371637</v>
      </c>
      <c r="E84" s="5">
        <f t="shared" si="3"/>
        <v>0.17</v>
      </c>
      <c r="F84" s="5">
        <f t="shared" si="4"/>
        <v>0.127</v>
      </c>
      <c r="H84" s="3">
        <f t="shared" si="5"/>
        <v>215.9</v>
      </c>
    </row>
    <row r="85" spans="1:8" x14ac:dyDescent="0.3">
      <c r="A85" t="s">
        <v>89</v>
      </c>
      <c r="B85">
        <f>VLOOKUP(A85,'vs (thru Wed 740pm)'!$B$2:$C$97,2,FALSE)</f>
        <v>1649135</v>
      </c>
      <c r="C85">
        <f>VLOOKUP(A85,power!$B$2:$C$101,2,FALSE)</f>
        <v>12279732</v>
      </c>
      <c r="E85" s="5">
        <f t="shared" si="3"/>
        <v>0.18</v>
      </c>
      <c r="F85" s="5">
        <f t="shared" si="4"/>
        <v>0.11700000000000001</v>
      </c>
      <c r="H85" s="3">
        <f t="shared" si="5"/>
        <v>210.6</v>
      </c>
    </row>
    <row r="86" spans="1:8" x14ac:dyDescent="0.3">
      <c r="A86" t="s">
        <v>13</v>
      </c>
      <c r="B86">
        <f>VLOOKUP(A86,'vs (thru Wed 740pm)'!$B$2:$C$97,2,FALSE)</f>
        <v>3089205</v>
      </c>
      <c r="C86">
        <f>VLOOKUP(A86,power!$B$2:$C$101,2,FALSE)</f>
        <v>12183896</v>
      </c>
      <c r="E86" s="5">
        <f t="shared" si="3"/>
        <v>0.5</v>
      </c>
      <c r="F86" s="5">
        <f t="shared" si="4"/>
        <v>0.106</v>
      </c>
      <c r="H86" s="3">
        <f t="shared" si="5"/>
        <v>530</v>
      </c>
    </row>
    <row r="87" spans="1:8" x14ac:dyDescent="0.3">
      <c r="A87" t="s">
        <v>16</v>
      </c>
      <c r="B87">
        <f>VLOOKUP(A87,'vs (thru Wed 740pm)'!$B$2:$C$97,2,FALSE)</f>
        <v>3676403</v>
      </c>
      <c r="C87">
        <f>VLOOKUP(A87,power!$B$2:$C$101,2,FALSE)</f>
        <v>12155206</v>
      </c>
      <c r="E87" s="5">
        <f t="shared" si="3"/>
        <v>0.64800000000000002</v>
      </c>
      <c r="F87" s="5">
        <f t="shared" si="4"/>
        <v>9.5000000000000001E-2</v>
      </c>
      <c r="H87" s="3">
        <f t="shared" si="5"/>
        <v>615.6</v>
      </c>
    </row>
    <row r="88" spans="1:8" x14ac:dyDescent="0.3">
      <c r="A88" t="s">
        <v>81</v>
      </c>
      <c r="B88">
        <f>VLOOKUP(A88,'vs (thru Wed 740pm)'!$B$2:$C$97,2,FALSE)</f>
        <v>2315507</v>
      </c>
      <c r="C88">
        <f>VLOOKUP(A88,power!$B$2:$C$101,2,FALSE)</f>
        <v>11654822</v>
      </c>
      <c r="E88" s="5">
        <f t="shared" si="3"/>
        <v>0.34</v>
      </c>
      <c r="F88" s="5">
        <f t="shared" si="4"/>
        <v>8.5000000000000006E-2</v>
      </c>
      <c r="H88" s="3">
        <f t="shared" si="5"/>
        <v>289.00000000000006</v>
      </c>
    </row>
    <row r="89" spans="1:8" x14ac:dyDescent="0.3">
      <c r="A89" t="s">
        <v>73</v>
      </c>
      <c r="B89">
        <f>VLOOKUP(A89,'vs (thru Wed 740pm)'!$B$2:$C$97,2,FALSE)</f>
        <v>3884630</v>
      </c>
      <c r="C89">
        <f>VLOOKUP(A89,power!$B$2:$C$101,2,FALSE)</f>
        <v>11569806</v>
      </c>
      <c r="E89" s="5">
        <f t="shared" si="3"/>
        <v>0.69099999999999995</v>
      </c>
      <c r="F89" s="5">
        <f t="shared" si="4"/>
        <v>7.3999999999999996E-2</v>
      </c>
      <c r="H89" s="3">
        <f t="shared" si="5"/>
        <v>511.33999999999992</v>
      </c>
    </row>
    <row r="90" spans="1:8" x14ac:dyDescent="0.3">
      <c r="A90" t="s">
        <v>78</v>
      </c>
      <c r="B90">
        <f>VLOOKUP(A90,'vs (thru Wed 740pm)'!$B$2:$C$97,2,FALSE)</f>
        <v>3068419</v>
      </c>
      <c r="C90">
        <f>VLOOKUP(A90,power!$B$2:$C$101,2,FALSE)</f>
        <v>11299986</v>
      </c>
      <c r="E90" s="5">
        <f t="shared" si="3"/>
        <v>0.47799999999999998</v>
      </c>
      <c r="F90" s="5">
        <f t="shared" si="4"/>
        <v>6.3E-2</v>
      </c>
      <c r="H90" s="3">
        <f t="shared" si="5"/>
        <v>301.14</v>
      </c>
    </row>
    <row r="91" spans="1:8" x14ac:dyDescent="0.3">
      <c r="A91" t="s">
        <v>3</v>
      </c>
      <c r="B91">
        <f>VLOOKUP(A91,'vs (thru Wed 740pm)'!$B$2:$C$97,2,FALSE)</f>
        <v>4862491</v>
      </c>
      <c r="C91">
        <f>VLOOKUP(A91,power!$B$2:$C$101,2,FALSE)</f>
        <v>11280129</v>
      </c>
      <c r="E91" s="5">
        <f t="shared" si="3"/>
        <v>0.85099999999999998</v>
      </c>
      <c r="F91" s="5">
        <f t="shared" si="4"/>
        <v>5.2999999999999999E-2</v>
      </c>
      <c r="H91" s="3">
        <f t="shared" si="5"/>
        <v>451.03</v>
      </c>
    </row>
    <row r="92" spans="1:8" x14ac:dyDescent="0.3">
      <c r="A92" t="s">
        <v>12</v>
      </c>
      <c r="B92">
        <f>VLOOKUP(A92,'vs (thru Wed 740pm)'!$B$2:$C$97,2,FALSE)</f>
        <v>2305405</v>
      </c>
      <c r="C92">
        <f>VLOOKUP(A92,power!$B$2:$C$101,2,FALSE)</f>
        <v>11078297</v>
      </c>
      <c r="E92" s="5">
        <f t="shared" si="3"/>
        <v>0.32900000000000001</v>
      </c>
      <c r="F92" s="5">
        <f t="shared" si="4"/>
        <v>4.2000000000000003E-2</v>
      </c>
      <c r="H92" s="3">
        <f t="shared" si="5"/>
        <v>138.18000000000004</v>
      </c>
    </row>
    <row r="93" spans="1:8" x14ac:dyDescent="0.3">
      <c r="A93" t="s">
        <v>96</v>
      </c>
      <c r="B93">
        <f>VLOOKUP(A93,'vs (thru Wed 740pm)'!$B$2:$C$97,2,FALSE)</f>
        <v>701850</v>
      </c>
      <c r="C93">
        <f>VLOOKUP(A93,power!$B$2:$C$101,2,FALSE)</f>
        <v>10825922</v>
      </c>
      <c r="E93" s="5">
        <f t="shared" si="3"/>
        <v>6.3E-2</v>
      </c>
      <c r="F93" s="5">
        <f t="shared" si="4"/>
        <v>3.1E-2</v>
      </c>
      <c r="H93" s="3">
        <f t="shared" si="5"/>
        <v>19.53</v>
      </c>
    </row>
    <row r="94" spans="1:8" x14ac:dyDescent="0.3">
      <c r="A94" t="s">
        <v>71</v>
      </c>
      <c r="B94">
        <f>VLOOKUP(A94,'vs (thru Wed 740pm)'!$B$2:$C$97,2,FALSE)</f>
        <v>4088818</v>
      </c>
      <c r="C94">
        <f>VLOOKUP(A94,power!$B$2:$C$101,2,FALSE)</f>
        <v>10738045</v>
      </c>
      <c r="E94" s="5">
        <f t="shared" si="3"/>
        <v>0.71199999999999997</v>
      </c>
      <c r="F94" s="5">
        <f t="shared" si="4"/>
        <v>2.1000000000000001E-2</v>
      </c>
      <c r="H94" s="3">
        <f t="shared" si="5"/>
        <v>149.52000000000001</v>
      </c>
    </row>
    <row r="95" spans="1:8" x14ac:dyDescent="0.3">
      <c r="A95" t="s">
        <v>27</v>
      </c>
      <c r="B95">
        <f>VLOOKUP(A95,'vs (thru Wed 740pm)'!$B$2:$C$97,2,FALSE)</f>
        <v>1109645</v>
      </c>
      <c r="C95">
        <f>VLOOKUP(A95,power!$B$2:$C$101,2,FALSE)</f>
        <v>10641846</v>
      </c>
      <c r="E95" s="5">
        <f t="shared" si="3"/>
        <v>0.127</v>
      </c>
      <c r="F95" s="5">
        <f t="shared" si="4"/>
        <v>0.01</v>
      </c>
      <c r="H95" s="3">
        <f t="shared" si="5"/>
        <v>12.700000000000001</v>
      </c>
    </row>
    <row r="96" spans="1:8" x14ac:dyDescent="0.3">
      <c r="A96" t="s">
        <v>105</v>
      </c>
      <c r="B96" s="6">
        <v>0</v>
      </c>
      <c r="C96">
        <f>VLOOKUP(A96,power!$B$2:$C$101,2,FALSE)</f>
        <v>10522529</v>
      </c>
      <c r="E96" s="5">
        <f t="shared" si="3"/>
        <v>0</v>
      </c>
      <c r="F96" s="5">
        <f t="shared" si="4"/>
        <v>0</v>
      </c>
      <c r="H96" s="3">
        <f t="shared" si="5"/>
        <v>0</v>
      </c>
    </row>
    <row r="97" spans="1:3" x14ac:dyDescent="0.3">
      <c r="A97" t="s">
        <v>79</v>
      </c>
      <c r="B97">
        <f>VLOOKUP(A97,'vs (thru Wed 740pm)'!$B$2:$C$97,2,FALSE)</f>
        <v>2849850</v>
      </c>
      <c r="C97">
        <f>VLOOKUP(A97,power!$B$2:$C$101,2,FALSE)</f>
        <v>9983003</v>
      </c>
    </row>
    <row r="98" spans="1:3" x14ac:dyDescent="0.3">
      <c r="A98" t="s">
        <v>93</v>
      </c>
      <c r="B98">
        <f>VLOOKUP(A98,'vs (thru Wed 740pm)'!$B$2:$C$97,2,FALSE)</f>
        <v>1014383</v>
      </c>
      <c r="C98">
        <f>VLOOKUP(A98,power!$B$2:$C$101,2,FALSE)</f>
        <v>5997750</v>
      </c>
    </row>
    <row r="99" spans="1:3" x14ac:dyDescent="0.3">
      <c r="A99" t="s">
        <v>70</v>
      </c>
      <c r="B99">
        <f>VLOOKUP(A99,'vs (thru Wed 740pm)'!$B$2:$C$97,2,FALSE)</f>
        <v>4121213</v>
      </c>
      <c r="C99">
        <f>VLOOKUP(A99,power!$B$2:$C$101,2,FALSE)</f>
        <v>5821797</v>
      </c>
    </row>
    <row r="100" spans="1:3" x14ac:dyDescent="0.3">
      <c r="A100" t="s">
        <v>98</v>
      </c>
      <c r="B100">
        <f>VLOOKUP(A100,'vs (thru Wed 740pm)'!$B$2:$C$97,2,FALSE)</f>
        <v>548600</v>
      </c>
      <c r="C100">
        <f>VLOOKUP(A100,power!$B$2:$C$101,2,FALSE)</f>
        <v>2029812</v>
      </c>
    </row>
    <row r="101" spans="1:3" x14ac:dyDescent="0.3">
      <c r="A101" t="s">
        <v>91</v>
      </c>
      <c r="B101">
        <f>VLOOKUP(A101,'vs (thru Wed 740pm)'!$B$2:$C$97,2,FALSE)</f>
        <v>1544400</v>
      </c>
      <c r="C101">
        <f>VLOOKUP(A101,power!$B$2:$C$101,2,FALSE)</f>
        <v>1595038</v>
      </c>
    </row>
  </sheetData>
  <sortState xmlns:xlrd2="http://schemas.microsoft.com/office/spreadsheetml/2017/richdata2" ref="A2:A96">
    <sortCondition ref="A2:A9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vs (thru Wed 740pm)</vt:lpstr>
      <vt:lpstr>power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Moster</dc:creator>
  <cp:lastModifiedBy>Eric Moster</cp:lastModifiedBy>
  <dcterms:created xsi:type="dcterms:W3CDTF">2026-06-09T23:00:00Z</dcterms:created>
  <dcterms:modified xsi:type="dcterms:W3CDTF">2026-06-17T23:59:42Z</dcterms:modified>
</cp:coreProperties>
</file>